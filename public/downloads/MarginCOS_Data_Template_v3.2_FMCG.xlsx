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7820" windowHeight="16840" tabRatio="500" firstSheet="0" activeTab="2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KU Data" sheetId="2" state="visible" r:id="rId2"/>
    <sheet xmlns:r="http://schemas.openxmlformats.org/officeDocument/2006/relationships" name="Reference_Lists" sheetId="3" state="visible" r:id="rId3"/>
    <sheet xmlns:r="http://schemas.openxmlformats.org/officeDocument/2006/relationships" name="Validation Rules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family val="2"/>
      <b val="1"/>
      <color rgb="FF001F5B"/>
      <sz val="16"/>
    </font>
    <font>
      <name val="Arial"/>
      <family val="2"/>
      <b val="1"/>
      <color rgb="FF999999"/>
      <sz val="8"/>
    </font>
    <font>
      <name val="Arial"/>
      <family val="2"/>
      <color rgb="FF666666"/>
      <sz val="10"/>
    </font>
    <font>
      <name val="Arial"/>
      <family val="2"/>
      <b val="1"/>
      <color rgb="FFFFFFFF"/>
      <sz val="13"/>
    </font>
    <font>
      <name val="Arial"/>
      <family val="2"/>
      <color rgb="FF444444"/>
      <sz val="9"/>
    </font>
    <font>
      <name val="Arial"/>
      <family val="2"/>
      <b val="1"/>
      <color rgb="FF001F5B"/>
      <sz val="9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A86B"/>
      <sz val="9"/>
    </font>
    <font>
      <name val="Arial"/>
      <family val="2"/>
      <b val="1"/>
      <color rgb="FFFFFFFF"/>
      <sz val="8"/>
    </font>
    <font>
      <name val="Arial"/>
      <family val="2"/>
      <b val="1"/>
      <color rgb="FF000000"/>
      <sz val="7"/>
    </font>
    <font>
      <name val="Arial"/>
      <family val="2"/>
      <b val="1"/>
      <color rgb="FF001F5B"/>
      <sz val="7"/>
    </font>
    <font>
      <name val="Arial"/>
      <family val="2"/>
      <b val="1"/>
      <color rgb="FF057A55"/>
      <sz val="7"/>
    </font>
    <font>
      <name val="Arial"/>
      <family val="2"/>
      <b val="1"/>
      <color rgb="FF1A56DB"/>
      <sz val="7"/>
    </font>
    <font>
      <name val="Arial"/>
      <family val="2"/>
      <i val="1"/>
      <color rgb="FF777777"/>
      <sz val="7"/>
    </font>
    <font>
      <name val="Arial"/>
      <family val="2"/>
      <b val="1"/>
      <color rgb="FF000000"/>
      <sz val="8"/>
    </font>
    <font>
      <name val="Arial"/>
      <family val="2"/>
      <b val="1"/>
      <color rgb="FF001F5B"/>
      <sz val="8"/>
    </font>
    <font>
      <name val="Arial"/>
      <family val="2"/>
      <color rgb="FF1A56DB"/>
      <sz val="8"/>
    </font>
    <font>
      <name val="Arial"/>
      <family val="2"/>
      <b val="1"/>
      <color rgb="FFFFFFFF"/>
      <sz val="10"/>
    </font>
    <font>
      <name val="Arial"/>
      <family val="2"/>
      <b val="1"/>
      <color rgb="FF00A86B"/>
      <sz val="8"/>
    </font>
    <font>
      <name val="Arial"/>
      <family val="2"/>
      <i val="1"/>
      <color rgb="FF555555"/>
      <sz val="8"/>
    </font>
    <font>
      <name val="Arial"/>
      <family val="2"/>
      <b val="1"/>
      <color rgb="FFFFFFFF"/>
      <sz val="7"/>
    </font>
  </fonts>
  <fills count="18">
    <fill>
      <patternFill/>
    </fill>
    <fill>
      <patternFill patternType="gray125"/>
    </fill>
    <fill>
      <patternFill patternType="solid">
        <fgColor rgb="FF00A86B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D9F2E6"/>
        <bgColor rgb="FFE8ECF7"/>
      </patternFill>
    </fill>
    <fill>
      <patternFill patternType="solid">
        <fgColor rgb="FFF2F2F2"/>
        <bgColor rgb="FFE8F4FD"/>
      </patternFill>
    </fill>
    <fill>
      <patternFill patternType="solid">
        <fgColor rgb="FFE8F4FD"/>
        <bgColor rgb="FFE8ECF7"/>
      </patternFill>
    </fill>
    <fill>
      <patternFill patternType="solid">
        <fgColor rgb="FF001F5B"/>
        <bgColor rgb="FF000080"/>
      </patternFill>
    </fill>
    <fill>
      <patternFill patternType="solid">
        <fgColor rgb="FFFFFFFF"/>
        <bgColor rgb="FFFAFAFA"/>
      </patternFill>
    </fill>
    <fill>
      <patternFill patternType="solid">
        <fgColor rgb="FF1A56DB"/>
        <bgColor rgb="FF3366FF"/>
      </patternFill>
    </fill>
    <fill>
      <patternFill patternType="solid">
        <fgColor rgb="FF057A55"/>
        <bgColor rgb="FF008080"/>
      </patternFill>
    </fill>
    <fill>
      <patternFill patternType="solid">
        <fgColor rgb="FF7E3AF2"/>
        <bgColor rgb="FF993366"/>
      </patternFill>
    </fill>
    <fill>
      <patternFill patternType="solid">
        <fgColor rgb="FFC27803"/>
        <bgColor rgb="FFE67E22"/>
      </patternFill>
    </fill>
    <fill>
      <patternFill patternType="solid">
        <fgColor rgb="FF374151"/>
        <bgColor rgb="FF444444"/>
      </patternFill>
    </fill>
    <fill>
      <patternFill patternType="solid">
        <fgColor rgb="FFE8ECF7"/>
        <bgColor rgb="FFE8F4FD"/>
      </patternFill>
    </fill>
    <fill>
      <patternFill patternType="solid">
        <fgColor rgb="FFFAFAFA"/>
        <bgColor rgb="FFFFFFFF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C27803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001F5B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 wrapText="1"/>
    </xf>
    <xf numFmtId="0" fontId="7" fillId="6" borderId="0" applyAlignment="1" pivotButton="0" quotePrefix="0" xfId="0">
      <alignment horizontal="left" vertical="center" wrapText="1"/>
    </xf>
    <xf numFmtId="0" fontId="9" fillId="7" borderId="0" pivotButton="0" quotePrefix="0" xfId="0"/>
    <xf numFmtId="0" fontId="0" fillId="7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center" vertical="center" wrapText="1"/>
    </xf>
    <xf numFmtId="0" fontId="18" fillId="3" borderId="2" applyAlignment="1" pivotButton="0" quotePrefix="0" xfId="0">
      <alignment horizontal="center" vertical="center" wrapText="1"/>
    </xf>
    <xf numFmtId="0" fontId="18" fillId="4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4" fontId="7" fillId="3" borderId="1" applyAlignment="1" pivotButton="0" quotePrefix="0" xfId="0">
      <alignment horizontal="center" vertical="center" wrapText="1"/>
    </xf>
    <xf numFmtId="2" fontId="7" fillId="8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center" vertical="center" wrapText="1"/>
    </xf>
    <xf numFmtId="3" fontId="19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4" fontId="11" fillId="2" borderId="1" applyAlignment="1" pivotButton="0" quotePrefix="0" xfId="0">
      <alignment horizontal="center" vertical="center" wrapText="1"/>
    </xf>
    <xf numFmtId="3" fontId="11" fillId="2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18" fillId="14" borderId="2" applyAlignment="1" pivotButton="0" quotePrefix="0" xfId="0">
      <alignment horizontal="center" vertical="center" wrapText="1"/>
    </xf>
    <xf numFmtId="0" fontId="18" fillId="14" borderId="2" pivotButton="0" quotePrefix="0" xfId="0"/>
    <xf numFmtId="0" fontId="7" fillId="15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pivotButton="0" quotePrefix="0" xfId="0"/>
    <xf numFmtId="0" fontId="21" fillId="0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23" fillId="16" borderId="1" applyAlignment="1" pivotButton="0" quotePrefix="0" xfId="0">
      <alignment horizontal="center" vertical="center" wrapText="1"/>
    </xf>
    <xf numFmtId="0" fontId="23" fillId="17" borderId="1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4" fontId="19" fillId="6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2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left" vertical="center" wrapText="1"/>
    </xf>
    <xf numFmtId="2" fontId="7" fillId="4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3" fontId="7" fillId="8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49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1" fillId="9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left" vertical="center" wrapText="1"/>
    </xf>
    <xf numFmtId="0" fontId="20" fillId="7" borderId="0" applyAlignment="1" pivotButton="0" quotePrefix="0" xfId="0">
      <alignment horizontal="left" vertical="center" wrapText="1"/>
    </xf>
    <xf numFmtId="0" fontId="7" fillId="0" borderId="3" pivotButton="0" quotePrefix="0" xfId="0"/>
    <xf numFmtId="0" fontId="0" fillId="0" borderId="4" pivotButton="0" quotePrefix="0" xfId="0"/>
    <xf numFmtId="0" fontId="7" fillId="0" borderId="1" pivotButton="0" quotePrefix="0" xfId="0"/>
    <xf numFmtId="0" fontId="0" fillId="0" borderId="5" pivotButton="0" quotePrefix="0" xfId="0"/>
    <xf numFmtId="0" fontId="22" fillId="0" borderId="0" pivotButton="0" quotePrefix="0" xfId="0"/>
    <xf numFmtId="0" fontId="11" fillId="17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27803"/>
      <rgbColor rgb="FF800080"/>
      <rgbColor rgb="FF057A55"/>
      <rgbColor rgb="FFC0C0C0"/>
      <rgbColor rgb="FF777777"/>
      <rgbColor rgb="FF9999FF"/>
      <rgbColor rgb="FF7E3AF2"/>
      <rgbColor rgb="FFFFF2CC"/>
      <rgbColor rgb="FFD9F2E6"/>
      <rgbColor rgb="FF660066"/>
      <rgbColor rgb="FFFF8080"/>
      <rgbColor rgb="FF1A56DB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FD"/>
      <rgbColor rgb="FFE8ECF7"/>
      <rgbColor rgb="FFF2F2F2"/>
      <rgbColor rgb="FF99CCFF"/>
      <rgbColor rgb="FFFF99CC"/>
      <rgbColor rgb="FFCC99FF"/>
      <rgbColor rgb="FFFAFAFA"/>
      <rgbColor rgb="FF3366FF"/>
      <rgbColor rgb="FF33CCCC"/>
      <rgbColor rgb="FF99CC00"/>
      <rgbColor rgb="FFFFCC00"/>
      <rgbColor rgb="FFFF9900"/>
      <rgbColor rgb="FFE67E22"/>
      <rgbColor rgb="FF666666"/>
      <rgbColor rgb="FF999999"/>
      <rgbColor rgb="FF001F5B"/>
      <rgbColor rgb="FF00A86B"/>
      <rgbColor rgb="FF003300"/>
      <rgbColor rgb="FF444444"/>
      <rgbColor rgb="FFC0392B"/>
      <rgbColor rgb="FF993366"/>
      <rgbColor rgb="FF555555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MarginCOS</author>
  </authors>
  <commentList>
    <comment ref="B4" authorId="0" shapeId="0">
      <text>
        <t>SKU ID
──────────────────────────────
Unique product identifier. Must not be duplicated.
Format: Text
Example: SKU-001
Required: YES</t>
      </text>
    </comment>
    <comment ref="C4" authorId="0" shapeId="0">
      <text>
        <t>Product Name
──────────────────────────────
Full product display name as it appears on-pack or in your ERP.
Format: Text
Example: Golden Penny Semolina 5kg
Required: YES</t>
      </text>
    </comment>
    <comment ref="D4" authorId="0" shapeId="0">
      <text>
        <t>Category
──────────────────────────────
Product category. Must match a value from the Reference_Lists tab exactly.
Format: Select from dropdown
See Reference_Lists for all valid options.
Required: YES</t>
      </text>
    </comment>
    <comment ref="E4" authorId="0" shapeId="0">
      <text>
        <t>Segment
──────────────────────────────
Market positioning tier. Use for segment-level margin intelligence.
Format: Select from dropdown
Options: Mass Market · Mid-Range · Premium
Required: YES</t>
      </text>
    </comment>
    <comment ref="F4" authorId="0" shapeId="0">
      <text>
        <t>Business Unit
──────────────────────────────
Division or product cluster within your organisation.
Format: Text
Example: Ambient Foods · Home Care · Beverages
Required: NO</t>
      </text>
    </comment>
    <comment ref="G4" authorId="0" shapeId="0">
      <text>
        <t>RRP ₦/unit
──────────────────────────────
Recommended retail price in Naira per single unit.
Numbers only — no ₦ symbol or commas.
Format: Number &gt; 0
Example: 3500
Required: YES</t>
      </text>
    </comment>
    <comment ref="H4" authorId="0" shapeId="0">
      <text>
        <t>COGS ₦/unit
──────────────────────────────
Cost of goods sold per unit in Naira.
Numbers only — no ₦ symbol or commas.
Format: Number &gt; 0
Example: 2100
Required: YES</t>
      </text>
    </comment>
    <comment ref="I4" authorId="0" shapeId="0">
      <text>
        <t>Gross Margin %
──────────────────────────────
AUTO-CALCULATED: 1 − (COGS ÷ RRP).
⚠ Do NOT edit — formula column.
If blank or showing an error, check that RRP and COGS
are both filled in as positive numbers.</t>
      </text>
    </comment>
    <comment ref="J4" authorId="0" shapeId="0">
      <text>
        <t>Price Elasticity
──────────────────────────────
Sensitivity of volume to a 1% price change.
Format: Negative decimal between -3.0 and 0.0
More negative = more price-sensitive
Example: -0.7 (moderate) · -1.2 (high)
See Reference_Lists tab for category proxies.
Required: NO</t>
      </text>
    </comment>
    <comment ref="K4" authorId="0" shapeId="0">
      <text>
        <t>Proposed Price Chg %
──────────────────────────────
Planned price adjustment as a DECIMAL.
Format: Decimal (0.08 = 8% increase · -0.05 = 5% decrease)
⚠ Do NOT enter 8 — enter 0.08
Required: NO</t>
      </text>
    </comment>
    <comment ref="L4" authorId="0" shapeId="0">
      <text>
        <t>Monthly Volume
──────────────────────────────
Average monthly sales volume in individual units.
Format: Whole number &gt; 0
Example: 85000
Required: YES</t>
      </text>
    </comment>
    <comment ref="M4" authorId="0" shapeId="0">
      <text>
        <t>Monthly Revenue ₦
──────────────────────────────
AUTO-CALCULATED: RRP × Monthly Volume.
⚠ Do NOT edit — formula column.
If blank, check that both RRP and Monthly Volume are filled in.</t>
      </text>
    </comment>
    <comment ref="N4" authorId="0" shapeId="0">
      <text>
        <t>Primary Channel
──────────────────────────────
Main route to market for this product.
Format: Select from dropdown
Options: Modern Trade · Open Market · HoReCa ·
Wholesale · Direct · E-Commerce · Other
Required: YES</t>
      </text>
    </comment>
    <comment ref="O4" authorId="0" shapeId="0">
      <text>
        <t>Channel Revenue Split
──────────────────────────────
How revenue is distributed across channels.
Format: CODE:%, comma-separated, must sum to 100
Codes: MT · OM · HO · WS · DI · EC · OT
Example: MT:60,OM:30,WS:10
Required: NO</t>
      </text>
    </comment>
    <comment ref="P4" authorId="0" shapeId="0">
      <text>
        <t>COGS Inflation Rate
──────────────────────────────
Year-on-year input cost inflation as a DECIMAL.
Format: Decimal (0.25 = 25% inflation)
⚠ Do NOT enter 25 — enter 0.25
Required: NO</t>
      </text>
    </comment>
    <comment ref="Q4" authorId="0" shapeId="0">
      <text>
        <t>Pass-Through Rate
──────────────────────────────
Proportion of cost increase passed to trade/consumers, as a DECIMAL.
Format: Decimal (0.65 = 65% passed through)
⚠ Do NOT enter 65 — enter 0.65
Required: NO</t>
      </text>
    </comment>
    <comment ref="R4" authorId="0" shapeId="0">
      <text>
        <t>Distributor Margin %
──────────────────────────────
Margin paid to your distributor as a DECIMAL.
Format: Decimal (0.12 = 12%)
⚠ Do NOT enter 12 — enter 0.12
Required: NO</t>
      </text>
    </comment>
    <comment ref="S4" authorId="0" shapeId="0">
      <text>
        <t>Promo Depth %
──────────────────────────────
Promotional discount depth as a DECIMAL.
Format: Decimal (0.20 = 20% off)
⚠ Do NOT enter 20 — enter 0.20
Required: NO</t>
      </text>
    </comment>
    <comment ref="T4" authorId="0" shapeId="0">
      <text>
        <t>Promo Lift %
──────────────────────────────
Expected volume uplift from promotions, as a DECIMAL.
Format: Decimal (0.35 = 35% uplift)
⚠ Do NOT enter 35 — enter 0.35
Required: NO</t>
      </text>
    </comment>
    <comment ref="U4" authorId="0" shapeId="0">
      <text>
        <t>WTP Premium %
──────────────────────────────
Willingness-to-pay headroom above current RRP, as a DECIMAL.
(How much extra customers would pay before switching)
Format: Decimal (0.08 = 8% headroom)
⚠ Do NOT enter 8 — enter 0.08
Required: NO</t>
      </text>
    </comment>
    <comment ref="V4" authorId="0" shapeId="0">
      <text>
        <t>Region
──────────────────────────────
Primary sales geography for this SKU.
Format: Select from dropdown
See Reference_Lists for valid regions.
Required: NO</t>
      </text>
    </comment>
    <comment ref="W4" authorId="0" shapeId="0">
      <text>
        <t>Active Flag
──────────────────────────────
Include this SKU in analysis? Y = active · N = excluded.
Format: Y or N
Default: Y
Tip: Set to N rather than deleting rows — preserves history.
Required: YES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3"/>
  <sheetViews>
    <sheetView showGridLines="0" topLeftCell="A2" zoomScale="168" zoomScaleNormal="100" workbookViewId="0">
      <selection activeCell="C24" sqref="C24"/>
    </sheetView>
  </sheetViews>
  <sheetFormatPr baseColWidth="10" defaultColWidth="8.6640625" defaultRowHeight="15"/>
  <cols>
    <col width="3" customWidth="1" style="57" min="1" max="1"/>
    <col width="18" customWidth="1" style="57" min="2" max="2"/>
    <col width="70" customWidth="1" style="57" min="3" max="3"/>
    <col width="3" customWidth="1" style="57" min="4" max="4"/>
    <col width="20" customWidth="1" style="57" min="5" max="5"/>
  </cols>
  <sheetData>
    <row r="1" ht="7.5" customHeight="1" s="57"/>
    <row r="2" ht="31.5" customHeight="1" s="57">
      <c r="B2" s="56" t="inlineStr">
        <is>
          <t>MarginCOS  ·  CLIENT DATA TEMPLATE  ·  v3.2</t>
        </is>
      </c>
      <c r="E2" s="1" t="inlineStr">
        <is>
          <t>VERTICAL</t>
        </is>
      </c>
    </row>
    <row r="3" ht="19.5" customHeight="1" s="57">
      <c r="B3" s="58" t="inlineStr">
        <is>
          <t>Margin Recovery Intelligence Engine  ·  Powered by Carthena Advisory</t>
        </is>
      </c>
      <c r="E3" s="2" t="inlineStr">
        <is>
          <t>FMCG</t>
        </is>
      </c>
    </row>
    <row r="4" ht="18" customHeight="1" s="57">
      <c r="B4" s="61" t="inlineStr">
        <is>
          <t>Complete this file and upload it to margincos.com to generate your margin analysis.</t>
        </is>
      </c>
    </row>
    <row r="5" ht="7.5" customHeight="1" s="57"/>
    <row r="7" ht="18" customHeight="1" s="57">
      <c r="B7" s="3" t="inlineStr">
        <is>
          <t>COLOUR GUIDE</t>
        </is>
      </c>
    </row>
    <row r="8" ht="15.75" customHeight="1" s="57">
      <c r="B8" s="4" t="inlineStr">
        <is>
          <t xml:space="preserve">  Sample</t>
        </is>
      </c>
      <c r="C8" s="59" t="inlineStr">
        <is>
          <t>REQUIRED FIELD - Must be completed. Upload will fail if blank.</t>
        </is>
      </c>
    </row>
    <row r="9" ht="15.75" customHeight="1" s="57">
      <c r="B9" s="6" t="inlineStr">
        <is>
          <t xml:space="preserve">  Sample</t>
        </is>
      </c>
      <c r="C9" s="59" t="inlineStr">
        <is>
          <t>OPTIONAL FIELD - Leave blank to use platform defaults. Completing improves accuracy.</t>
        </is>
      </c>
    </row>
    <row r="10">
      <c r="B10" s="7" t="inlineStr">
        <is>
          <t xml:space="preserve">  Sample</t>
        </is>
      </c>
      <c r="C10" s="59" t="inlineStr">
        <is>
          <t>DO NOT EDIT - System-generated or formula column. Do not modify.</t>
        </is>
      </c>
    </row>
    <row r="11">
      <c r="B11" s="8" t="inlineStr">
        <is>
          <t xml:space="preserve">  Sample</t>
        </is>
      </c>
      <c r="C11" s="59" t="inlineStr">
        <is>
          <t>FORMULA COLUMN - Calculates automatically from your inputs. Do not overwrite.</t>
        </is>
      </c>
    </row>
    <row r="13" ht="18" customHeight="1" s="57">
      <c r="B13" s="9" t="inlineStr">
        <is>
          <t xml:space="preserve">  HOW TO COMPLETE THIS TEMPLATE</t>
        </is>
      </c>
      <c r="C13" s="10" t="n"/>
    </row>
    <row r="14" ht="15.75" customHeight="1" s="57">
      <c r="B14" s="11" t="inlineStr">
        <is>
          <t>STEP 1</t>
        </is>
      </c>
      <c r="C14" s="59" t="inlineStr">
        <is>
          <t>Go to the 'SKU Data' sheet. Each row is one SKU. This template supports up to 200 SKUs.</t>
        </is>
      </c>
    </row>
    <row r="15" ht="26" customHeight="1" s="57">
      <c r="B15" s="11" t="inlineStr">
        <is>
          <t>STEP 2</t>
        </is>
      </c>
      <c r="C15" s="59" t="inlineStr">
        <is>
          <t>Complete all REQUIRED (yellow) fields for every SKU. Incomplete required fields will prevent upload.</t>
        </is>
      </c>
    </row>
    <row r="16" ht="26" customHeight="1" s="57">
      <c r="B16" s="11" t="inlineStr">
        <is>
          <t>STEP 3</t>
        </is>
      </c>
      <c r="C16" s="59" t="inlineStr">
        <is>
          <t>Complete as many OPTIONAL (teal) fields as possible. The more you fill in, the richer your analysis.</t>
        </is>
      </c>
    </row>
    <row r="17" ht="26" customHeight="1" s="57">
      <c r="B17" s="11" t="inlineStr">
        <is>
          <t>STEP 4</t>
        </is>
      </c>
      <c r="C17" s="59" t="inlineStr">
        <is>
          <t>Use the 'Reference Lists' sheet to find valid values for Category, Segment, Channel and Region dropdowns.</t>
        </is>
      </c>
    </row>
    <row r="18" ht="26" customHeight="1" s="57">
      <c r="B18" s="11" t="inlineStr">
        <is>
          <t>STEP 5</t>
        </is>
      </c>
      <c r="C18" s="59" t="inlineStr">
        <is>
          <t>Do NOT rename columns, add columns, or change column order. The platform validates against exact column names.</t>
        </is>
      </c>
    </row>
    <row r="19">
      <c r="B19" s="11" t="inlineStr">
        <is>
          <t>STEP 6</t>
        </is>
      </c>
      <c r="C19" s="59" t="inlineStr">
        <is>
          <t>Save the file and upload at margincos.com → Dashboard → Upload Data.</t>
        </is>
      </c>
    </row>
    <row r="20">
      <c r="B20" s="11" t="inlineStr">
        <is>
          <t>STEP 7</t>
        </is>
      </c>
      <c r="C20" s="59" t="inlineStr">
        <is>
          <t>The platform will validate your data and show an Upload Report before any analysis runs.</t>
        </is>
      </c>
    </row>
    <row r="22" ht="15" customHeight="1" s="57">
      <c r="B22" s="60" t="inlineStr">
        <is>
          <t xml:space="preserve">  NEED HELP?</t>
        </is>
      </c>
    </row>
    <row r="23" ht="20" customHeight="1" s="57">
      <c r="B23" s="59" t="inlineStr">
        <is>
          <t>Contact your Carthena Advisory engagement manager or email info@carthenaadvisory.com</t>
        </is>
      </c>
    </row>
  </sheetData>
  <mergeCells count="5">
    <mergeCell ref="B2:C2"/>
    <mergeCell ref="B3:C3"/>
    <mergeCell ref="B23:C23"/>
    <mergeCell ref="B22:C22"/>
    <mergeCell ref="B4:C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06"/>
  <sheetViews>
    <sheetView showGridLines="0" zoomScale="20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3" customWidth="1" style="57" min="1" max="1"/>
    <col width="14" customWidth="1" style="57" min="2" max="2"/>
    <col width="28" customWidth="1" style="57" min="3" max="3"/>
    <col width="20" customWidth="1" style="57" min="4" max="4"/>
    <col width="16" customWidth="1" style="57" min="5" max="5"/>
    <col width="18" customWidth="1" style="57" min="6" max="6"/>
    <col width="16" customWidth="1" style="57" min="7" max="7"/>
    <col width="14" customWidth="1" style="57" min="8" max="9"/>
    <col width="16" customWidth="1" style="57" min="10" max="11"/>
    <col width="18" customWidth="1" style="57" min="12" max="12"/>
    <col width="16" customWidth="1" style="57" min="13" max="13"/>
    <col width="28" customWidth="1" style="57" min="14" max="14"/>
    <col width="14" customWidth="1" style="57" min="15" max="17"/>
    <col width="12" customWidth="1" style="57" min="18" max="19"/>
    <col width="14" customWidth="1" style="57" min="20" max="21"/>
    <col width="10" customWidth="1" style="57" min="22" max="22"/>
  </cols>
  <sheetData>
    <row r="1" ht="7.5" customHeight="1" s="57">
      <c r="A1" s="12" t="n"/>
      <c r="B1" s="62" t="inlineStr">
        <is>
          <t xml:space="preserve">  IDENTITY</t>
        </is>
      </c>
      <c r="F1" s="64" t="inlineStr">
        <is>
          <t xml:space="preserve">  PRICING  ·  P1</t>
        </is>
      </c>
      <c r="K1" s="67" t="inlineStr">
        <is>
          <t xml:space="preserve">  VOLUME  ·  P1–P4</t>
        </is>
      </c>
      <c r="O1" s="63" t="inlineStr">
        <is>
          <t xml:space="preserve">  COST PASS-THROUGH  ·  P2</t>
        </is>
      </c>
      <c r="R1" s="66" t="inlineStr">
        <is>
          <t xml:space="preserve">  TRADE EXECUTION  ·  P4</t>
        </is>
      </c>
      <c r="U1" s="65" t="inlineStr">
        <is>
          <t xml:space="preserve">  METADATA</t>
        </is>
      </c>
    </row>
    <row r="2" ht="19.5" customHeight="1" s="57">
      <c r="A2" s="14" t="n"/>
      <c r="B2" s="15" t="inlineStr">
        <is>
          <t>REQ</t>
        </is>
      </c>
      <c r="C2" s="15" t="inlineStr">
        <is>
          <t>REQ</t>
        </is>
      </c>
      <c r="D2" s="15" t="inlineStr">
        <is>
          <t>REQ</t>
        </is>
      </c>
      <c r="E2" s="16" t="inlineStr">
        <is>
          <t>OPT</t>
        </is>
      </c>
      <c r="F2" s="15" t="inlineStr">
        <is>
          <t>REQ</t>
        </is>
      </c>
      <c r="G2" s="15" t="inlineStr">
        <is>
          <t>REQ</t>
        </is>
      </c>
      <c r="H2" s="17" t="inlineStr">
        <is>
          <t>FORMULA</t>
        </is>
      </c>
      <c r="I2" s="16" t="inlineStr">
        <is>
          <t>OPT</t>
        </is>
      </c>
      <c r="J2" s="16" t="inlineStr">
        <is>
          <t>OPT</t>
        </is>
      </c>
      <c r="K2" s="15" t="inlineStr">
        <is>
          <t>REQ</t>
        </is>
      </c>
      <c r="L2" s="17" t="inlineStr">
        <is>
          <t>FORMULA</t>
        </is>
      </c>
      <c r="M2" s="15" t="inlineStr">
        <is>
          <t>REQ</t>
        </is>
      </c>
      <c r="N2" s="16" t="inlineStr">
        <is>
          <t>OPT</t>
        </is>
      </c>
      <c r="O2" s="16" t="inlineStr">
        <is>
          <t>OPT</t>
        </is>
      </c>
      <c r="P2" s="16" t="inlineStr">
        <is>
          <t>OPT</t>
        </is>
      </c>
      <c r="Q2" s="16" t="inlineStr">
        <is>
          <t>OPT</t>
        </is>
      </c>
      <c r="R2" s="16" t="inlineStr">
        <is>
          <t>OPT</t>
        </is>
      </c>
      <c r="S2" s="16" t="inlineStr">
        <is>
          <t>OPT</t>
        </is>
      </c>
      <c r="T2" s="16" t="inlineStr">
        <is>
          <t>OPT</t>
        </is>
      </c>
      <c r="U2" s="16" t="inlineStr">
        <is>
          <t>OPT</t>
        </is>
      </c>
      <c r="V2" s="15" t="inlineStr">
        <is>
          <t>REQ</t>
        </is>
      </c>
    </row>
    <row r="3" ht="15.75" customHeight="1" s="57">
      <c r="A3" s="18" t="n"/>
      <c r="B3" s="18" t="inlineStr">
        <is>
          <t>sku_id</t>
        </is>
      </c>
      <c r="C3" s="18" t="inlineStr">
        <is>
          <t>sku_name</t>
        </is>
      </c>
      <c r="D3" s="18" t="inlineStr">
        <is>
          <t>category</t>
        </is>
      </c>
      <c r="E3" s="18" t="inlineStr">
        <is>
          <t>segment</t>
        </is>
      </c>
      <c r="F3" s="18" t="inlineStr">
        <is>
          <t>business_unit</t>
        </is>
      </c>
      <c r="G3" s="18" t="inlineStr">
        <is>
          <t>rrp</t>
        </is>
      </c>
      <c r="H3" s="18" t="inlineStr">
        <is>
          <t>cogs_per_unit</t>
        </is>
      </c>
      <c r="I3" s="18" t="inlineStr">
        <is>
          <t>gross_margin_pct</t>
        </is>
      </c>
      <c r="J3" s="18" t="inlineStr">
        <is>
          <t>price_elasticity</t>
        </is>
      </c>
      <c r="K3" s="18" t="inlineStr">
        <is>
          <t>proposed_price_change_pct</t>
        </is>
      </c>
      <c r="L3" s="18" t="inlineStr">
        <is>
          <t>monthly_volume_units</t>
        </is>
      </c>
      <c r="M3" s="18" t="inlineStr">
        <is>
          <t>monthly_revenue</t>
        </is>
      </c>
      <c r="N3" s="18" t="inlineStr">
        <is>
          <t>primary_channel</t>
        </is>
      </c>
      <c r="O3" s="18" t="inlineStr">
        <is>
          <t>channel_revenue_split</t>
        </is>
      </c>
      <c r="P3" s="18" t="inlineStr">
        <is>
          <t>cogs_inflation_rate</t>
        </is>
      </c>
      <c r="Q3" s="18" t="inlineStr">
        <is>
          <t>pass_through_rate</t>
        </is>
      </c>
      <c r="R3" s="18" t="inlineStr">
        <is>
          <t>distributor_margin_pct</t>
        </is>
      </c>
      <c r="S3" s="18" t="inlineStr">
        <is>
          <t>promo_depth_pct</t>
        </is>
      </c>
      <c r="T3" s="18" t="inlineStr">
        <is>
          <t>promo_lift_pct</t>
        </is>
      </c>
      <c r="U3" s="18" t="inlineStr">
        <is>
          <t>wtp_premium_pct</t>
        </is>
      </c>
      <c r="V3" s="18" t="inlineStr">
        <is>
          <t>region</t>
        </is>
      </c>
      <c r="W3" s="18" t="inlineStr">
        <is>
          <t>active</t>
        </is>
      </c>
    </row>
    <row r="4" ht="31.5" customHeight="1" s="57">
      <c r="A4" s="19" t="n"/>
      <c r="B4" s="20" t="inlineStr">
        <is>
          <t>SKU ID *</t>
        </is>
      </c>
      <c r="C4" s="20" t="inlineStr">
        <is>
          <t>Product Name *</t>
        </is>
      </c>
      <c r="D4" s="20" t="inlineStr">
        <is>
          <t>Category *</t>
        </is>
      </c>
      <c r="E4" s="20" t="inlineStr">
        <is>
          <t>Segment *</t>
        </is>
      </c>
      <c r="F4" s="21" t="inlineStr">
        <is>
          <t>Business Unit</t>
        </is>
      </c>
      <c r="G4" s="20" t="inlineStr">
        <is>
          <t>RRP ₦/unit *</t>
        </is>
      </c>
      <c r="H4" s="20" t="inlineStr">
        <is>
          <t>COGS ₦/unit *</t>
        </is>
      </c>
      <c r="I4" s="22" t="inlineStr">
        <is>
          <t>Gross Margin %</t>
        </is>
      </c>
      <c r="J4" s="21" t="inlineStr">
        <is>
          <t>Price Elasticity</t>
        </is>
      </c>
      <c r="K4" s="21" t="inlineStr">
        <is>
          <t>Proposed Price Chg %</t>
        </is>
      </c>
      <c r="L4" s="20" t="inlineStr">
        <is>
          <t>Monthly Volume *</t>
        </is>
      </c>
      <c r="M4" s="22" t="inlineStr">
        <is>
          <t>Monthly Revenue ₦</t>
        </is>
      </c>
      <c r="N4" s="20" t="inlineStr">
        <is>
          <t>Primary Channel *</t>
        </is>
      </c>
      <c r="O4" s="21" t="inlineStr">
        <is>
          <t>Channel Split (e.g. MT:60,OM:40)</t>
        </is>
      </c>
      <c r="P4" s="21" t="inlineStr">
        <is>
          <t>COGS Inflation %</t>
        </is>
      </c>
      <c r="Q4" s="21" t="inlineStr">
        <is>
          <t>Pass-Through %</t>
        </is>
      </c>
      <c r="R4" s="21" t="inlineStr">
        <is>
          <t>Distributor Margin %</t>
        </is>
      </c>
      <c r="S4" s="21" t="inlineStr">
        <is>
          <t>Promo Depth %</t>
        </is>
      </c>
      <c r="T4" s="21" t="inlineStr">
        <is>
          <t>Promo Lift %</t>
        </is>
      </c>
      <c r="U4" s="21" t="inlineStr">
        <is>
          <t>WTP Premium %</t>
        </is>
      </c>
      <c r="V4" s="21" t="inlineStr">
        <is>
          <t>Region</t>
        </is>
      </c>
      <c r="W4" s="20" t="inlineStr">
        <is>
          <t>Active *</t>
        </is>
      </c>
    </row>
    <row r="5" ht="15" customHeight="1" s="57">
      <c r="A5" s="23" t="n"/>
      <c r="B5" s="24" t="inlineStr">
        <is>
          <t>SKU-001</t>
        </is>
      </c>
      <c r="C5" s="24" t="inlineStr">
        <is>
          <t>Golden Penny Semolina 5kg</t>
        </is>
      </c>
      <c r="D5" s="24" t="inlineStr">
        <is>
          <t>Flour &amp; Grains</t>
        </is>
      </c>
      <c r="E5" s="24" t="inlineStr">
        <is>
          <t>Mass Market</t>
        </is>
      </c>
      <c r="F5" s="44" t="inlineStr">
        <is>
          <t>Ambient Foods</t>
        </is>
      </c>
      <c r="G5" s="25" t="n">
        <v>2200</v>
      </c>
      <c r="H5" s="45" t="n">
        <v>1380</v>
      </c>
      <c r="I5" s="46">
        <f>IFERROR(1-H5/G5,0)</f>
        <v/>
      </c>
      <c r="J5" s="27" t="n">
        <v>-0.5</v>
      </c>
      <c r="K5" s="47" t="n">
        <v>0.08</v>
      </c>
      <c r="L5" s="28" t="n">
        <v>85000</v>
      </c>
      <c r="M5" s="48">
        <f>IFERROR(G5*L5,0)</f>
        <v/>
      </c>
      <c r="N5" s="29" t="inlineStr">
        <is>
          <t>Open Market</t>
        </is>
      </c>
      <c r="O5" s="44" t="inlineStr">
        <is>
          <t>OM:60,MT:30,WS:10</t>
        </is>
      </c>
      <c r="P5" s="27" t="n">
        <v>0.28</v>
      </c>
      <c r="Q5" s="27" t="n">
        <v>0.45</v>
      </c>
      <c r="R5" s="27" t="n">
        <v>0.1</v>
      </c>
      <c r="S5" s="27" t="n">
        <v>0.12</v>
      </c>
      <c r="T5" s="26" t="n">
        <v>0.2</v>
      </c>
      <c r="U5" s="49" t="n">
        <v>0.04</v>
      </c>
      <c r="V5" s="24" t="inlineStr">
        <is>
          <t>Kano</t>
        </is>
      </c>
      <c r="W5" t="inlineStr">
        <is>
          <t>Y</t>
        </is>
      </c>
    </row>
    <row r="6" ht="15" customHeight="1" s="57">
      <c r="A6" s="23" t="n"/>
      <c r="B6" s="24" t="inlineStr">
        <is>
          <t>SKU-002</t>
        </is>
      </c>
      <c r="C6" s="24" t="inlineStr">
        <is>
          <t>Golden Veg Oil 1L</t>
        </is>
      </c>
      <c r="D6" s="24" t="inlineStr">
        <is>
          <t>Edible Oils</t>
        </is>
      </c>
      <c r="E6" s="24" t="inlineStr">
        <is>
          <t>Mass Market</t>
        </is>
      </c>
      <c r="F6" s="44" t="inlineStr">
        <is>
          <t>Ambient Foods</t>
        </is>
      </c>
      <c r="G6" s="25" t="n">
        <v>850</v>
      </c>
      <c r="H6" s="45" t="n">
        <v>490</v>
      </c>
      <c r="I6" s="46">
        <f>IFERROR(1-H6/G6,0)</f>
        <v/>
      </c>
      <c r="J6" s="27" t="n">
        <v>-0.7</v>
      </c>
      <c r="K6" s="47" t="n">
        <v>0.1</v>
      </c>
      <c r="L6" s="28" t="n">
        <v>180000</v>
      </c>
      <c r="M6" s="48">
        <f>IFERROR(G6*L6,0)</f>
        <v/>
      </c>
      <c r="N6" s="29" t="inlineStr">
        <is>
          <t>Modern Trade</t>
        </is>
      </c>
      <c r="O6" s="44" t="inlineStr">
        <is>
          <t>MT:70,OM:20,WS:10</t>
        </is>
      </c>
      <c r="P6" s="27" t="n">
        <v>0.22</v>
      </c>
      <c r="Q6" s="27" t="n">
        <v>0.6</v>
      </c>
      <c r="R6" s="27" t="n">
        <v>0.12</v>
      </c>
      <c r="S6" s="27" t="n">
        <v>0.15</v>
      </c>
      <c r="T6" s="26" t="n">
        <v>0.25</v>
      </c>
      <c r="U6" s="49" t="n">
        <v>0.05</v>
      </c>
      <c r="V6" s="24" t="inlineStr">
        <is>
          <t>Lagos</t>
        </is>
      </c>
      <c r="W6" t="inlineStr">
        <is>
          <t>Y</t>
        </is>
      </c>
    </row>
    <row r="7" ht="15" customHeight="1" s="57">
      <c r="A7" s="23" t="n"/>
      <c r="B7" s="24" t="inlineStr">
        <is>
          <t>SKU-003</t>
        </is>
      </c>
      <c r="C7" s="24" t="inlineStr">
        <is>
          <t>Gino Tomato Mix 400g</t>
        </is>
      </c>
      <c r="D7" s="24" t="inlineStr">
        <is>
          <t>Tomato Products</t>
        </is>
      </c>
      <c r="E7" s="24" t="inlineStr">
        <is>
          <t>Mid-Range</t>
        </is>
      </c>
      <c r="F7" s="44" t="inlineStr">
        <is>
          <t>Ambient Foods</t>
        </is>
      </c>
      <c r="G7" s="25" t="n">
        <v>320</v>
      </c>
      <c r="H7" s="45" t="n">
        <v>175</v>
      </c>
      <c r="I7" s="46">
        <f>IFERROR(1-H7/G7,0)</f>
        <v/>
      </c>
      <c r="J7" s="27" t="n">
        <v>-0.9</v>
      </c>
      <c r="K7" s="47" t="n">
        <v>0.12</v>
      </c>
      <c r="L7" s="28" t="n">
        <v>420000</v>
      </c>
      <c r="M7" s="48">
        <f>IFERROR(G7*L7,0)</f>
        <v/>
      </c>
      <c r="N7" s="29" t="inlineStr">
        <is>
          <t>Modern Trade</t>
        </is>
      </c>
      <c r="O7" s="44" t="inlineStr">
        <is>
          <t>MT:50,OM:40,WS:10</t>
        </is>
      </c>
      <c r="P7" s="27" t="n">
        <v>0.18</v>
      </c>
      <c r="Q7" s="27" t="n">
        <v>0.65</v>
      </c>
      <c r="R7" s="27" t="n">
        <v>0.14</v>
      </c>
      <c r="S7" s="27" t="n">
        <v>0.2</v>
      </c>
      <c r="T7" s="26" t="n">
        <v>0.3</v>
      </c>
      <c r="U7" s="49" t="n">
        <v>0.07000000000000001</v>
      </c>
      <c r="V7" s="24" t="inlineStr">
        <is>
          <t>Lagos</t>
        </is>
      </c>
      <c r="W7" t="inlineStr">
        <is>
          <t>Y</t>
        </is>
      </c>
    </row>
    <row r="8" ht="15" customHeight="1" s="57">
      <c r="A8" s="23" t="n"/>
      <c r="B8" s="24" t="inlineStr">
        <is>
          <t>SKU-004</t>
        </is>
      </c>
      <c r="C8" s="24" t="inlineStr">
        <is>
          <t>Indomie Onion Chicken 70g</t>
        </is>
      </c>
      <c r="D8" s="24" t="inlineStr">
        <is>
          <t>Noodles &amp; Pasta</t>
        </is>
      </c>
      <c r="E8" s="24" t="inlineStr">
        <is>
          <t>Mass Market</t>
        </is>
      </c>
      <c r="F8" s="44" t="inlineStr">
        <is>
          <t>Ambient Foods</t>
        </is>
      </c>
      <c r="G8" s="25" t="n">
        <v>120</v>
      </c>
      <c r="H8" s="45" t="n">
        <v>68</v>
      </c>
      <c r="I8" s="46">
        <f>IFERROR(1-H8/G8,0)</f>
        <v/>
      </c>
      <c r="J8" s="27" t="n">
        <v>-1.1</v>
      </c>
      <c r="K8" s="47" t="n">
        <v>0.15</v>
      </c>
      <c r="L8" s="28" t="n">
        <v>950000</v>
      </c>
      <c r="M8" s="48">
        <f>IFERROR(G8*L8,0)</f>
        <v/>
      </c>
      <c r="N8" s="29" t="inlineStr">
        <is>
          <t>Open Market</t>
        </is>
      </c>
      <c r="O8" s="44" t="inlineStr">
        <is>
          <t>OM:55,MT:35,WS:10</t>
        </is>
      </c>
      <c r="P8" s="27" t="n">
        <v>0.3</v>
      </c>
      <c r="Q8" s="27" t="n">
        <v>0.4</v>
      </c>
      <c r="R8" s="27" t="n">
        <v>0.18</v>
      </c>
      <c r="S8" s="27" t="n">
        <v>0.25</v>
      </c>
      <c r="T8" s="26" t="n">
        <v>0.4</v>
      </c>
      <c r="U8" s="49" t="n">
        <v>0.03</v>
      </c>
      <c r="V8" s="24" t="inlineStr">
        <is>
          <t>Ibadan</t>
        </is>
      </c>
      <c r="W8" t="inlineStr">
        <is>
          <t>Y</t>
        </is>
      </c>
    </row>
    <row r="9" ht="15" customHeight="1" s="57">
      <c r="A9" s="23" t="n"/>
      <c r="B9" s="24" t="inlineStr">
        <is>
          <t>SKU-005</t>
        </is>
      </c>
      <c r="C9" s="24" t="inlineStr">
        <is>
          <t>Dettol Antiseptic Liquid 500ml</t>
        </is>
      </c>
      <c r="D9" s="24" t="inlineStr">
        <is>
          <t>Surface &amp; Floor Cleaners</t>
        </is>
      </c>
      <c r="E9" s="24" t="inlineStr">
        <is>
          <t>Mid-Range</t>
        </is>
      </c>
      <c r="F9" s="44" t="inlineStr">
        <is>
          <t>Home Care</t>
        </is>
      </c>
      <c r="G9" s="25" t="n">
        <v>1850</v>
      </c>
      <c r="H9" s="45" t="n">
        <v>1100</v>
      </c>
      <c r="I9" s="46">
        <f>IFERROR(1-H9/G9,0)</f>
        <v/>
      </c>
      <c r="J9" s="27" t="n">
        <v>-0.6</v>
      </c>
      <c r="K9" s="47" t="n">
        <v>0.07000000000000001</v>
      </c>
      <c r="L9" s="28" t="n">
        <v>45000</v>
      </c>
      <c r="M9" s="48">
        <f>IFERROR(G9*L9,0)</f>
        <v/>
      </c>
      <c r="N9" s="29" t="inlineStr">
        <is>
          <t>Modern Trade</t>
        </is>
      </c>
      <c r="O9" s="44" t="inlineStr">
        <is>
          <t>MT:65,OM:25,WS:10</t>
        </is>
      </c>
      <c r="P9" s="27" t="n">
        <v>0.15</v>
      </c>
      <c r="Q9" s="27" t="n">
        <v>0.7</v>
      </c>
      <c r="R9" s="27" t="n">
        <v>0.1</v>
      </c>
      <c r="S9" s="27" t="n">
        <v>0.1</v>
      </c>
      <c r="T9" s="26" t="n">
        <v>0.18</v>
      </c>
      <c r="U9" s="49" t="n">
        <v>0.08</v>
      </c>
      <c r="V9" s="24" t="inlineStr">
        <is>
          <t>Lagos</t>
        </is>
      </c>
      <c r="W9" t="inlineStr">
        <is>
          <t>Y</t>
        </is>
      </c>
    </row>
    <row r="10" ht="15" customHeight="1" s="57">
      <c r="A10" s="23" t="n"/>
      <c r="B10" s="30" t="n"/>
      <c r="C10" s="30" t="n"/>
      <c r="D10" s="30" t="n"/>
      <c r="E10" s="30" t="n"/>
      <c r="F10" s="23" t="n"/>
      <c r="G10" s="23" t="n"/>
      <c r="H10" s="50" t="n"/>
      <c r="I10" s="46">
        <f>IFERROR(1-H10/G10,0)</f>
        <v/>
      </c>
      <c r="J10" s="23" t="n"/>
      <c r="K10" s="23" t="n"/>
      <c r="L10" s="50" t="n"/>
      <c r="M10" s="51">
        <f>IFERROR(G10*L10,0)</f>
        <v/>
      </c>
      <c r="N10" s="30" t="n"/>
      <c r="O10" s="23" t="n"/>
      <c r="P10" s="23" t="n"/>
      <c r="Q10" s="23" t="n"/>
      <c r="R10" s="23" t="n"/>
      <c r="S10" s="23" t="n"/>
      <c r="T10" s="23" t="n"/>
      <c r="U10" s="30" t="n"/>
      <c r="V10" s="30" t="n"/>
    </row>
    <row r="11" ht="15" customHeight="1" s="57">
      <c r="A11" s="23" t="n"/>
      <c r="B11" s="30" t="n"/>
      <c r="C11" s="30" t="n"/>
      <c r="D11" s="30" t="n"/>
      <c r="E11" s="30" t="n"/>
      <c r="F11" s="23" t="n"/>
      <c r="G11" s="23" t="n"/>
      <c r="H11" s="50" t="n"/>
      <c r="I11" s="46">
        <f>IFERROR(1-H11/G11,0)</f>
        <v/>
      </c>
      <c r="J11" s="23" t="n"/>
      <c r="K11" s="23" t="n"/>
      <c r="L11" s="50" t="n"/>
      <c r="M11" s="51">
        <f>IFERROR(G11*L11,0)</f>
        <v/>
      </c>
      <c r="N11" s="30" t="n"/>
      <c r="O11" s="23" t="n"/>
      <c r="P11" s="23" t="n"/>
      <c r="Q11" s="23" t="n"/>
      <c r="R11" s="23" t="n"/>
      <c r="S11" s="23" t="n"/>
      <c r="T11" s="23" t="n"/>
      <c r="U11" s="30" t="n"/>
      <c r="V11" s="30" t="n"/>
    </row>
    <row r="12" ht="15" customHeight="1" s="57">
      <c r="A12" s="23" t="n"/>
      <c r="B12" s="30" t="n"/>
      <c r="C12" s="30" t="n"/>
      <c r="D12" s="30" t="n"/>
      <c r="E12" s="30" t="n"/>
      <c r="F12" s="23" t="n"/>
      <c r="G12" s="23" t="n"/>
      <c r="H12" s="50" t="n"/>
      <c r="I12" s="46">
        <f>IFERROR(1-H12/G12,0)</f>
        <v/>
      </c>
      <c r="J12" s="23" t="n"/>
      <c r="K12" s="23" t="n"/>
      <c r="L12" s="50" t="n"/>
      <c r="M12" s="51">
        <f>IFERROR(G12*L12,0)</f>
        <v/>
      </c>
      <c r="N12" s="30" t="n"/>
      <c r="O12" s="23" t="n"/>
      <c r="P12" s="23" t="n"/>
      <c r="Q12" s="23" t="n"/>
      <c r="R12" s="23" t="n"/>
      <c r="S12" s="23" t="n"/>
      <c r="T12" s="23" t="n"/>
      <c r="U12" s="30" t="n"/>
      <c r="V12" s="30" t="n"/>
    </row>
    <row r="13" ht="15" customHeight="1" s="57">
      <c r="A13" s="23" t="n"/>
      <c r="B13" s="30" t="n"/>
      <c r="C13" s="30" t="n"/>
      <c r="D13" s="30" t="n"/>
      <c r="E13" s="30" t="n"/>
      <c r="F13" s="23" t="n"/>
      <c r="G13" s="23" t="n"/>
      <c r="H13" s="50" t="n"/>
      <c r="I13" s="46">
        <f>IFERROR(1-H13/G13,0)</f>
        <v/>
      </c>
      <c r="J13" s="23" t="n"/>
      <c r="K13" s="23" t="n"/>
      <c r="L13" s="50" t="n"/>
      <c r="M13" s="51">
        <f>IFERROR(G13*L13,0)</f>
        <v/>
      </c>
      <c r="N13" s="30" t="n"/>
      <c r="O13" s="23" t="n"/>
      <c r="P13" s="23" t="n"/>
      <c r="Q13" s="23" t="n"/>
      <c r="R13" s="23" t="n"/>
      <c r="S13" s="23" t="n"/>
      <c r="T13" s="23" t="n"/>
      <c r="U13" s="30" t="n"/>
      <c r="V13" s="30" t="n"/>
    </row>
    <row r="14" ht="15" customHeight="1" s="57">
      <c r="A14" s="23" t="n"/>
      <c r="B14" s="30" t="n"/>
      <c r="C14" s="30" t="n"/>
      <c r="D14" s="30" t="n"/>
      <c r="E14" s="30" t="n"/>
      <c r="F14" s="23" t="n"/>
      <c r="G14" s="23" t="n"/>
      <c r="H14" s="50" t="n"/>
      <c r="I14" s="46">
        <f>IFERROR(1-H14/G14,0)</f>
        <v/>
      </c>
      <c r="J14" s="23" t="n"/>
      <c r="K14" s="23" t="n"/>
      <c r="L14" s="50" t="n"/>
      <c r="M14" s="51">
        <f>IFERROR(G14*L14,0)</f>
        <v/>
      </c>
      <c r="N14" s="30" t="n"/>
      <c r="O14" s="23" t="n"/>
      <c r="P14" s="23" t="n"/>
      <c r="Q14" s="23" t="n"/>
      <c r="R14" s="23" t="n"/>
      <c r="S14" s="23" t="n"/>
      <c r="T14" s="23" t="n"/>
      <c r="U14" s="30" t="n"/>
      <c r="V14" s="30" t="n"/>
    </row>
    <row r="15" ht="15" customHeight="1" s="57">
      <c r="A15" s="23" t="n"/>
      <c r="B15" s="30" t="n"/>
      <c r="C15" s="30" t="n"/>
      <c r="D15" s="30" t="n"/>
      <c r="E15" s="30" t="n"/>
      <c r="F15" s="23" t="n"/>
      <c r="G15" s="23" t="n"/>
      <c r="H15" s="50" t="n"/>
      <c r="I15" s="46">
        <f>IFERROR(1-H15/G15,0)</f>
        <v/>
      </c>
      <c r="J15" s="23" t="n"/>
      <c r="K15" s="23" t="n"/>
      <c r="L15" s="50" t="n"/>
      <c r="M15" s="51">
        <f>IFERROR(G15*L15,0)</f>
        <v/>
      </c>
      <c r="N15" s="30" t="n"/>
      <c r="O15" s="23" t="n"/>
      <c r="P15" s="23" t="n"/>
      <c r="Q15" s="23" t="n"/>
      <c r="R15" s="23" t="n"/>
      <c r="S15" s="23" t="n"/>
      <c r="T15" s="23" t="n"/>
      <c r="U15" s="30" t="n"/>
      <c r="V15" s="30" t="n"/>
    </row>
    <row r="16" ht="15" customHeight="1" s="57">
      <c r="A16" s="23" t="n"/>
      <c r="B16" s="30" t="n"/>
      <c r="C16" s="30" t="n"/>
      <c r="D16" s="30" t="n"/>
      <c r="E16" s="30" t="n"/>
      <c r="F16" s="23" t="n"/>
      <c r="G16" s="23" t="n"/>
      <c r="H16" s="50" t="n"/>
      <c r="I16" s="46">
        <f>IFERROR(1-H16/G16,0)</f>
        <v/>
      </c>
      <c r="J16" s="23" t="n"/>
      <c r="K16" s="23" t="n"/>
      <c r="L16" s="50" t="n"/>
      <c r="M16" s="51">
        <f>IFERROR(G16*L16,0)</f>
        <v/>
      </c>
      <c r="N16" s="30" t="n"/>
      <c r="O16" s="23" t="n"/>
      <c r="P16" s="23" t="n"/>
      <c r="Q16" s="23" t="n"/>
      <c r="R16" s="23" t="n"/>
      <c r="S16" s="23" t="n"/>
      <c r="T16" s="23" t="n"/>
      <c r="U16" s="30" t="n"/>
      <c r="V16" s="30" t="n"/>
    </row>
    <row r="17" ht="15" customHeight="1" s="57">
      <c r="A17" s="23" t="n"/>
      <c r="B17" s="30" t="n"/>
      <c r="C17" s="30" t="n"/>
      <c r="D17" s="30" t="n"/>
      <c r="E17" s="30" t="n"/>
      <c r="F17" s="23" t="n"/>
      <c r="G17" s="23" t="n"/>
      <c r="H17" s="50" t="n"/>
      <c r="I17" s="46">
        <f>IFERROR(1-H17/G17,0)</f>
        <v/>
      </c>
      <c r="J17" s="23" t="n"/>
      <c r="K17" s="23" t="n"/>
      <c r="L17" s="50" t="n"/>
      <c r="M17" s="51">
        <f>IFERROR(G17*L17,0)</f>
        <v/>
      </c>
      <c r="N17" s="30" t="n"/>
      <c r="O17" s="23" t="n"/>
      <c r="P17" s="23" t="n"/>
      <c r="Q17" s="23" t="n"/>
      <c r="R17" s="23" t="n"/>
      <c r="S17" s="23" t="n"/>
      <c r="T17" s="23" t="n"/>
      <c r="U17" s="30" t="n"/>
      <c r="V17" s="30" t="n"/>
    </row>
    <row r="18" ht="15" customHeight="1" s="57">
      <c r="A18" s="23" t="n"/>
      <c r="B18" s="30" t="n"/>
      <c r="C18" s="30" t="n"/>
      <c r="D18" s="30" t="n"/>
      <c r="E18" s="30" t="n"/>
      <c r="F18" s="23" t="n"/>
      <c r="G18" s="23" t="n"/>
      <c r="H18" s="50" t="n"/>
      <c r="I18" s="46">
        <f>IFERROR(1-H18/G18,0)</f>
        <v/>
      </c>
      <c r="J18" s="23" t="n"/>
      <c r="K18" s="23" t="n"/>
      <c r="L18" s="50" t="n"/>
      <c r="M18" s="51">
        <f>IFERROR(G18*L18,0)</f>
        <v/>
      </c>
      <c r="N18" s="30" t="n"/>
      <c r="O18" s="23" t="n"/>
      <c r="P18" s="23" t="n"/>
      <c r="Q18" s="23" t="n"/>
      <c r="R18" s="23" t="n"/>
      <c r="S18" s="23" t="n"/>
      <c r="T18" s="23" t="n"/>
      <c r="U18" s="30" t="n"/>
      <c r="V18" s="30" t="n"/>
    </row>
    <row r="19" ht="15" customHeight="1" s="57">
      <c r="A19" s="23" t="n"/>
      <c r="B19" s="30" t="n"/>
      <c r="C19" s="30" t="n"/>
      <c r="D19" s="30" t="n"/>
      <c r="E19" s="30" t="n"/>
      <c r="F19" s="23" t="n"/>
      <c r="G19" s="23" t="n"/>
      <c r="H19" s="50" t="n"/>
      <c r="I19" s="46">
        <f>IFERROR(1-H19/G19,0)</f>
        <v/>
      </c>
      <c r="J19" s="23" t="n"/>
      <c r="K19" s="23" t="n"/>
      <c r="L19" s="50" t="n"/>
      <c r="M19" s="51">
        <f>IFERROR(G19*L19,0)</f>
        <v/>
      </c>
      <c r="N19" s="30" t="n"/>
      <c r="O19" s="23" t="n"/>
      <c r="P19" s="23" t="n"/>
      <c r="Q19" s="23" t="n"/>
      <c r="R19" s="23" t="n"/>
      <c r="S19" s="23" t="n"/>
      <c r="T19" s="23" t="n"/>
      <c r="U19" s="30" t="n"/>
      <c r="V19" s="30" t="n"/>
    </row>
    <row r="20" ht="15" customHeight="1" s="57">
      <c r="A20" s="23" t="n"/>
      <c r="B20" s="30" t="n"/>
      <c r="C20" s="30" t="n"/>
      <c r="D20" s="30" t="n"/>
      <c r="E20" s="30" t="n"/>
      <c r="F20" s="23" t="n"/>
      <c r="G20" s="23" t="n"/>
      <c r="H20" s="50" t="n"/>
      <c r="I20" s="46">
        <f>IFERROR(1-H20/G20,0)</f>
        <v/>
      </c>
      <c r="J20" s="23" t="n"/>
      <c r="K20" s="23" t="n"/>
      <c r="L20" s="50" t="n"/>
      <c r="M20" s="51">
        <f>IFERROR(G20*L20,0)</f>
        <v/>
      </c>
      <c r="N20" s="30" t="n"/>
      <c r="O20" s="23" t="n"/>
      <c r="P20" s="23" t="n"/>
      <c r="Q20" s="23" t="n"/>
      <c r="R20" s="23" t="n"/>
      <c r="S20" s="23" t="n"/>
      <c r="T20" s="23" t="n"/>
      <c r="U20" s="30" t="n"/>
      <c r="V20" s="30" t="n"/>
    </row>
    <row r="21" ht="15" customHeight="1" s="57">
      <c r="A21" s="23" t="n"/>
      <c r="B21" s="30" t="n"/>
      <c r="C21" s="30" t="n"/>
      <c r="D21" s="30" t="n"/>
      <c r="E21" s="30" t="n"/>
      <c r="F21" s="23" t="n"/>
      <c r="G21" s="23" t="n"/>
      <c r="H21" s="50" t="n"/>
      <c r="I21" s="46">
        <f>IFERROR(1-H21/G21,0)</f>
        <v/>
      </c>
      <c r="J21" s="23" t="n"/>
      <c r="K21" s="23" t="n"/>
      <c r="L21" s="50" t="n"/>
      <c r="M21" s="51">
        <f>IFERROR(G21*L21,0)</f>
        <v/>
      </c>
      <c r="N21" s="30" t="n"/>
      <c r="O21" s="23" t="n"/>
      <c r="P21" s="23" t="n"/>
      <c r="Q21" s="23" t="n"/>
      <c r="R21" s="23" t="n"/>
      <c r="S21" s="23" t="n"/>
      <c r="T21" s="23" t="n"/>
      <c r="U21" s="30" t="n"/>
      <c r="V21" s="30" t="n"/>
    </row>
    <row r="22" ht="15" customHeight="1" s="57">
      <c r="A22" s="23" t="n"/>
      <c r="B22" s="30" t="n"/>
      <c r="C22" s="30" t="n"/>
      <c r="D22" s="30" t="n"/>
      <c r="E22" s="30" t="n"/>
      <c r="F22" s="23" t="n"/>
      <c r="G22" s="23" t="n"/>
      <c r="H22" s="50" t="n"/>
      <c r="I22" s="46">
        <f>IFERROR(1-H22/G22,0)</f>
        <v/>
      </c>
      <c r="J22" s="23" t="n"/>
      <c r="K22" s="23" t="n"/>
      <c r="L22" s="50" t="n"/>
      <c r="M22" s="51">
        <f>IFERROR(G22*L22,0)</f>
        <v/>
      </c>
      <c r="N22" s="30" t="n"/>
      <c r="O22" s="23" t="n"/>
      <c r="P22" s="23" t="n"/>
      <c r="Q22" s="23" t="n"/>
      <c r="R22" s="23" t="n"/>
      <c r="S22" s="23" t="n"/>
      <c r="T22" s="23" t="n"/>
      <c r="U22" s="30" t="n"/>
      <c r="V22" s="30" t="n"/>
    </row>
    <row r="23" ht="15" customHeight="1" s="57">
      <c r="A23" s="23" t="n"/>
      <c r="B23" s="30" t="n"/>
      <c r="C23" s="30" t="n"/>
      <c r="D23" s="30" t="n"/>
      <c r="E23" s="30" t="n"/>
      <c r="F23" s="23" t="n"/>
      <c r="G23" s="23" t="n"/>
      <c r="H23" s="50" t="n"/>
      <c r="I23" s="46">
        <f>IFERROR(1-H23/G23,0)</f>
        <v/>
      </c>
      <c r="J23" s="23" t="n"/>
      <c r="K23" s="23" t="n"/>
      <c r="L23" s="50" t="n"/>
      <c r="M23" s="51">
        <f>IFERROR(G23*L23,0)</f>
        <v/>
      </c>
      <c r="N23" s="30" t="n"/>
      <c r="O23" s="23" t="n"/>
      <c r="P23" s="23" t="n"/>
      <c r="Q23" s="23" t="n"/>
      <c r="R23" s="23" t="n"/>
      <c r="S23" s="23" t="n"/>
      <c r="T23" s="23" t="n"/>
      <c r="U23" s="30" t="n"/>
      <c r="V23" s="30" t="n"/>
    </row>
    <row r="24" ht="15" customHeight="1" s="57">
      <c r="A24" s="23" t="n"/>
      <c r="B24" s="30" t="n"/>
      <c r="C24" s="30" t="n"/>
      <c r="D24" s="30" t="n"/>
      <c r="E24" s="30" t="n"/>
      <c r="F24" s="23" t="n"/>
      <c r="G24" s="23" t="n"/>
      <c r="H24" s="50" t="n"/>
      <c r="I24" s="46">
        <f>IFERROR(1-H24/G24,0)</f>
        <v/>
      </c>
      <c r="J24" s="23" t="n"/>
      <c r="K24" s="23" t="n"/>
      <c r="L24" s="50" t="n"/>
      <c r="M24" s="51">
        <f>IFERROR(G24*L24,0)</f>
        <v/>
      </c>
      <c r="N24" s="30" t="n"/>
      <c r="O24" s="23" t="n"/>
      <c r="P24" s="23" t="n"/>
      <c r="Q24" s="23" t="n"/>
      <c r="R24" s="23" t="n"/>
      <c r="S24" s="23" t="n"/>
      <c r="T24" s="23" t="n"/>
      <c r="U24" s="30" t="n"/>
      <c r="V24" s="30" t="n"/>
    </row>
    <row r="25" ht="15" customHeight="1" s="57">
      <c r="A25" s="23" t="n"/>
      <c r="B25" s="30" t="n"/>
      <c r="C25" s="30" t="n"/>
      <c r="D25" s="30" t="n"/>
      <c r="E25" s="30" t="n"/>
      <c r="F25" s="23" t="n"/>
      <c r="G25" s="23" t="n"/>
      <c r="H25" s="50" t="n"/>
      <c r="I25" s="46">
        <f>IFERROR(1-H25/G25,0)</f>
        <v/>
      </c>
      <c r="J25" s="23" t="n"/>
      <c r="K25" s="23" t="n"/>
      <c r="L25" s="50" t="n"/>
      <c r="M25" s="51">
        <f>IFERROR(G25*L25,0)</f>
        <v/>
      </c>
      <c r="N25" s="30" t="n"/>
      <c r="O25" s="23" t="n"/>
      <c r="P25" s="23" t="n"/>
      <c r="Q25" s="23" t="n"/>
      <c r="R25" s="23" t="n"/>
      <c r="S25" s="23" t="n"/>
      <c r="T25" s="23" t="n"/>
      <c r="U25" s="30" t="n"/>
      <c r="V25" s="30" t="n"/>
    </row>
    <row r="26" ht="15" customHeight="1" s="57">
      <c r="A26" s="23" t="n"/>
      <c r="B26" s="30" t="n"/>
      <c r="C26" s="30" t="n"/>
      <c r="D26" s="30" t="n"/>
      <c r="E26" s="30" t="n"/>
      <c r="F26" s="23" t="n"/>
      <c r="G26" s="23" t="n"/>
      <c r="H26" s="50" t="n"/>
      <c r="I26" s="46">
        <f>IFERROR(1-H26/G26,0)</f>
        <v/>
      </c>
      <c r="J26" s="23" t="n"/>
      <c r="K26" s="23" t="n"/>
      <c r="L26" s="50" t="n"/>
      <c r="M26" s="51">
        <f>IFERROR(G26*L26,0)</f>
        <v/>
      </c>
      <c r="N26" s="30" t="n"/>
      <c r="O26" s="23" t="n"/>
      <c r="P26" s="23" t="n"/>
      <c r="Q26" s="23" t="n"/>
      <c r="R26" s="23" t="n"/>
      <c r="S26" s="23" t="n"/>
      <c r="T26" s="23" t="n"/>
      <c r="U26" s="30" t="n"/>
      <c r="V26" s="30" t="n"/>
    </row>
    <row r="27" ht="15" customHeight="1" s="57">
      <c r="A27" s="23" t="n"/>
      <c r="B27" s="30" t="n"/>
      <c r="C27" s="30" t="n"/>
      <c r="D27" s="30" t="n"/>
      <c r="E27" s="30" t="n"/>
      <c r="F27" s="23" t="n"/>
      <c r="G27" s="23" t="n"/>
      <c r="H27" s="50" t="n"/>
      <c r="I27" s="46">
        <f>IFERROR(1-H27/G27,0)</f>
        <v/>
      </c>
      <c r="J27" s="23" t="n"/>
      <c r="K27" s="23" t="n"/>
      <c r="L27" s="50" t="n"/>
      <c r="M27" s="51">
        <f>IFERROR(G27*L27,0)</f>
        <v/>
      </c>
      <c r="N27" s="30" t="n"/>
      <c r="O27" s="23" t="n"/>
      <c r="P27" s="23" t="n"/>
      <c r="Q27" s="23" t="n"/>
      <c r="R27" s="23" t="n"/>
      <c r="S27" s="23" t="n"/>
      <c r="T27" s="23" t="n"/>
      <c r="U27" s="30" t="n"/>
      <c r="V27" s="30" t="n"/>
    </row>
    <row r="28" ht="15" customHeight="1" s="57">
      <c r="A28" s="23" t="n"/>
      <c r="B28" s="30" t="n"/>
      <c r="C28" s="30" t="n"/>
      <c r="D28" s="30" t="n"/>
      <c r="E28" s="30" t="n"/>
      <c r="F28" s="23" t="n"/>
      <c r="G28" s="23" t="n"/>
      <c r="H28" s="50" t="n"/>
      <c r="I28" s="46">
        <f>IFERROR(1-H28/G28,0)</f>
        <v/>
      </c>
      <c r="J28" s="23" t="n"/>
      <c r="K28" s="23" t="n"/>
      <c r="L28" s="50" t="n"/>
      <c r="M28" s="51">
        <f>IFERROR(G28*L28,0)</f>
        <v/>
      </c>
      <c r="N28" s="30" t="n"/>
      <c r="O28" s="23" t="n"/>
      <c r="P28" s="23" t="n"/>
      <c r="Q28" s="23" t="n"/>
      <c r="R28" s="23" t="n"/>
      <c r="S28" s="23" t="n"/>
      <c r="T28" s="23" t="n"/>
      <c r="U28" s="30" t="n"/>
      <c r="V28" s="30" t="n"/>
    </row>
    <row r="29" ht="15" customHeight="1" s="57">
      <c r="A29" s="23" t="n"/>
      <c r="B29" s="30" t="n"/>
      <c r="C29" s="30" t="n"/>
      <c r="D29" s="30" t="n"/>
      <c r="E29" s="30" t="n"/>
      <c r="F29" s="23" t="n"/>
      <c r="G29" s="23" t="n"/>
      <c r="H29" s="50" t="n"/>
      <c r="I29" s="46">
        <f>IFERROR(1-H29/G29,0)</f>
        <v/>
      </c>
      <c r="J29" s="23" t="n"/>
      <c r="K29" s="23" t="n"/>
      <c r="L29" s="50" t="n"/>
      <c r="M29" s="51">
        <f>IFERROR(G29*L29,0)</f>
        <v/>
      </c>
      <c r="N29" s="30" t="n"/>
      <c r="O29" s="23" t="n"/>
      <c r="P29" s="23" t="n"/>
      <c r="Q29" s="23" t="n"/>
      <c r="R29" s="23" t="n"/>
      <c r="S29" s="23" t="n"/>
      <c r="T29" s="23" t="n"/>
      <c r="U29" s="30" t="n"/>
      <c r="V29" s="30" t="n"/>
    </row>
    <row r="30" ht="15" customHeight="1" s="57">
      <c r="A30" s="23" t="n"/>
      <c r="B30" s="30" t="n"/>
      <c r="C30" s="30" t="n"/>
      <c r="D30" s="30" t="n"/>
      <c r="E30" s="30" t="n"/>
      <c r="F30" s="23" t="n"/>
      <c r="G30" s="23" t="n"/>
      <c r="H30" s="50" t="n"/>
      <c r="I30" s="46">
        <f>IFERROR(1-H30/G30,0)</f>
        <v/>
      </c>
      <c r="J30" s="23" t="n"/>
      <c r="K30" s="23" t="n"/>
      <c r="L30" s="50" t="n"/>
      <c r="M30" s="51">
        <f>IFERROR(G30*L30,0)</f>
        <v/>
      </c>
      <c r="N30" s="30" t="n"/>
      <c r="O30" s="23" t="n"/>
      <c r="P30" s="23" t="n"/>
      <c r="Q30" s="23" t="n"/>
      <c r="R30" s="23" t="n"/>
      <c r="S30" s="23" t="n"/>
      <c r="T30" s="23" t="n"/>
      <c r="U30" s="30" t="n"/>
      <c r="V30" s="30" t="n"/>
    </row>
    <row r="31" ht="15" customHeight="1" s="57">
      <c r="A31" s="23" t="n"/>
      <c r="B31" s="30" t="n"/>
      <c r="C31" s="30" t="n"/>
      <c r="D31" s="30" t="n"/>
      <c r="E31" s="30" t="n"/>
      <c r="F31" s="23" t="n"/>
      <c r="G31" s="23" t="n"/>
      <c r="H31" s="50" t="n"/>
      <c r="I31" s="46">
        <f>IFERROR(1-H31/G31,0)</f>
        <v/>
      </c>
      <c r="J31" s="23" t="n"/>
      <c r="K31" s="23" t="n"/>
      <c r="L31" s="50" t="n"/>
      <c r="M31" s="51">
        <f>IFERROR(G31*L31,0)</f>
        <v/>
      </c>
      <c r="N31" s="30" t="n"/>
      <c r="O31" s="23" t="n"/>
      <c r="P31" s="23" t="n"/>
      <c r="Q31" s="23" t="n"/>
      <c r="R31" s="23" t="n"/>
      <c r="S31" s="23" t="n"/>
      <c r="T31" s="23" t="n"/>
      <c r="U31" s="30" t="n"/>
      <c r="V31" s="30" t="n"/>
    </row>
    <row r="32" ht="15" customHeight="1" s="57">
      <c r="A32" s="23" t="n"/>
      <c r="B32" s="30" t="n"/>
      <c r="C32" s="30" t="n"/>
      <c r="D32" s="30" t="n"/>
      <c r="E32" s="30" t="n"/>
      <c r="F32" s="23" t="n"/>
      <c r="G32" s="23" t="n"/>
      <c r="H32" s="50" t="n"/>
      <c r="I32" s="46">
        <f>IFERROR(1-H32/G32,0)</f>
        <v/>
      </c>
      <c r="J32" s="23" t="n"/>
      <c r="K32" s="23" t="n"/>
      <c r="L32" s="50" t="n"/>
      <c r="M32" s="51">
        <f>IFERROR(G32*L32,0)</f>
        <v/>
      </c>
      <c r="N32" s="30" t="n"/>
      <c r="O32" s="23" t="n"/>
      <c r="P32" s="23" t="n"/>
      <c r="Q32" s="23" t="n"/>
      <c r="R32" s="23" t="n"/>
      <c r="S32" s="23" t="n"/>
      <c r="T32" s="23" t="n"/>
      <c r="U32" s="30" t="n"/>
      <c r="V32" s="30" t="n"/>
    </row>
    <row r="33" ht="15" customHeight="1" s="57">
      <c r="A33" s="23" t="n"/>
      <c r="B33" s="30" t="n"/>
      <c r="C33" s="30" t="n"/>
      <c r="D33" s="30" t="n"/>
      <c r="E33" s="30" t="n"/>
      <c r="F33" s="23" t="n"/>
      <c r="G33" s="23" t="n"/>
      <c r="H33" s="50" t="n"/>
      <c r="I33" s="46">
        <f>IFERROR(1-H33/G33,0)</f>
        <v/>
      </c>
      <c r="J33" s="23" t="n"/>
      <c r="K33" s="23" t="n"/>
      <c r="L33" s="50" t="n"/>
      <c r="M33" s="51">
        <f>IFERROR(G33*L33,0)</f>
        <v/>
      </c>
      <c r="N33" s="30" t="n"/>
      <c r="O33" s="23" t="n"/>
      <c r="P33" s="23" t="n"/>
      <c r="Q33" s="23" t="n"/>
      <c r="R33" s="23" t="n"/>
      <c r="S33" s="23" t="n"/>
      <c r="T33" s="23" t="n"/>
      <c r="U33" s="30" t="n"/>
      <c r="V33" s="30" t="n"/>
    </row>
    <row r="34" ht="15" customHeight="1" s="57">
      <c r="A34" s="23" t="n"/>
      <c r="B34" s="30" t="n"/>
      <c r="C34" s="30" t="n"/>
      <c r="D34" s="30" t="n"/>
      <c r="E34" s="30" t="n"/>
      <c r="F34" s="23" t="n"/>
      <c r="G34" s="23" t="n"/>
      <c r="H34" s="50" t="n"/>
      <c r="I34" s="46">
        <f>IFERROR(1-H34/G34,0)</f>
        <v/>
      </c>
      <c r="J34" s="23" t="n"/>
      <c r="K34" s="23" t="n"/>
      <c r="L34" s="50" t="n"/>
      <c r="M34" s="51">
        <f>IFERROR(G34*L34,0)</f>
        <v/>
      </c>
      <c r="N34" s="30" t="n"/>
      <c r="O34" s="23" t="n"/>
      <c r="P34" s="23" t="n"/>
      <c r="Q34" s="23" t="n"/>
      <c r="R34" s="23" t="n"/>
      <c r="S34" s="23" t="n"/>
      <c r="T34" s="23" t="n"/>
      <c r="U34" s="30" t="n"/>
      <c r="V34" s="30" t="n"/>
    </row>
    <row r="35" ht="15" customHeight="1" s="57">
      <c r="A35" s="23" t="n"/>
      <c r="B35" s="30" t="n"/>
      <c r="C35" s="30" t="n"/>
      <c r="D35" s="30" t="n"/>
      <c r="E35" s="30" t="n"/>
      <c r="F35" s="23" t="n"/>
      <c r="G35" s="23" t="n"/>
      <c r="H35" s="50" t="n"/>
      <c r="I35" s="46">
        <f>IFERROR(1-H35/G35,0)</f>
        <v/>
      </c>
      <c r="J35" s="23" t="n"/>
      <c r="K35" s="23" t="n"/>
      <c r="L35" s="50" t="n"/>
      <c r="M35" s="51">
        <f>IFERROR(G35*L35,0)</f>
        <v/>
      </c>
      <c r="N35" s="30" t="n"/>
      <c r="O35" s="23" t="n"/>
      <c r="P35" s="23" t="n"/>
      <c r="Q35" s="23" t="n"/>
      <c r="R35" s="23" t="n"/>
      <c r="S35" s="23" t="n"/>
      <c r="T35" s="23" t="n"/>
      <c r="U35" s="30" t="n"/>
      <c r="V35" s="30" t="n"/>
    </row>
    <row r="36" ht="15" customHeight="1" s="57">
      <c r="A36" s="23" t="n"/>
      <c r="B36" s="30" t="n"/>
      <c r="C36" s="30" t="n"/>
      <c r="D36" s="30" t="n"/>
      <c r="E36" s="30" t="n"/>
      <c r="F36" s="23" t="n"/>
      <c r="G36" s="23" t="n"/>
      <c r="H36" s="50" t="n"/>
      <c r="I36" s="46">
        <f>IFERROR(1-H36/G36,0)</f>
        <v/>
      </c>
      <c r="J36" s="23" t="n"/>
      <c r="K36" s="23" t="n"/>
      <c r="L36" s="50" t="n"/>
      <c r="M36" s="51">
        <f>IFERROR(G36*L36,0)</f>
        <v/>
      </c>
      <c r="N36" s="30" t="n"/>
      <c r="O36" s="23" t="n"/>
      <c r="P36" s="23" t="n"/>
      <c r="Q36" s="23" t="n"/>
      <c r="R36" s="23" t="n"/>
      <c r="S36" s="23" t="n"/>
      <c r="T36" s="23" t="n"/>
      <c r="U36" s="30" t="n"/>
      <c r="V36" s="30" t="n"/>
    </row>
    <row r="37" ht="15" customHeight="1" s="57">
      <c r="A37" s="23" t="n"/>
      <c r="B37" s="30" t="n"/>
      <c r="C37" s="30" t="n"/>
      <c r="D37" s="30" t="n"/>
      <c r="E37" s="30" t="n"/>
      <c r="F37" s="23" t="n"/>
      <c r="G37" s="23" t="n"/>
      <c r="H37" s="50" t="n"/>
      <c r="I37" s="46">
        <f>IFERROR(1-H37/G37,0)</f>
        <v/>
      </c>
      <c r="J37" s="23" t="n"/>
      <c r="K37" s="23" t="n"/>
      <c r="L37" s="50" t="n"/>
      <c r="M37" s="51">
        <f>IFERROR(G37*L37,0)</f>
        <v/>
      </c>
      <c r="N37" s="30" t="n"/>
      <c r="O37" s="23" t="n"/>
      <c r="P37" s="23" t="n"/>
      <c r="Q37" s="23" t="n"/>
      <c r="R37" s="23" t="n"/>
      <c r="S37" s="23" t="n"/>
      <c r="T37" s="23" t="n"/>
      <c r="U37" s="30" t="n"/>
      <c r="V37" s="30" t="n"/>
    </row>
    <row r="38" ht="15" customHeight="1" s="57">
      <c r="A38" s="23" t="n"/>
      <c r="B38" s="30" t="n"/>
      <c r="C38" s="30" t="n"/>
      <c r="D38" s="30" t="n"/>
      <c r="E38" s="30" t="n"/>
      <c r="F38" s="23" t="n"/>
      <c r="G38" s="23" t="n"/>
      <c r="H38" s="50" t="n"/>
      <c r="I38" s="46">
        <f>IFERROR(1-H38/G38,0)</f>
        <v/>
      </c>
      <c r="J38" s="23" t="n"/>
      <c r="K38" s="23" t="n"/>
      <c r="L38" s="50" t="n"/>
      <c r="M38" s="51">
        <f>IFERROR(G38*L38,0)</f>
        <v/>
      </c>
      <c r="N38" s="30" t="n"/>
      <c r="O38" s="23" t="n"/>
      <c r="P38" s="23" t="n"/>
      <c r="Q38" s="23" t="n"/>
      <c r="R38" s="23" t="n"/>
      <c r="S38" s="23" t="n"/>
      <c r="T38" s="23" t="n"/>
      <c r="U38" s="30" t="n"/>
      <c r="V38" s="30" t="n"/>
    </row>
    <row r="39" ht="15" customHeight="1" s="57">
      <c r="A39" s="23" t="n"/>
      <c r="B39" s="30" t="n"/>
      <c r="C39" s="30" t="n"/>
      <c r="D39" s="30" t="n"/>
      <c r="E39" s="30" t="n"/>
      <c r="F39" s="23" t="n"/>
      <c r="G39" s="23" t="n"/>
      <c r="H39" s="50" t="n"/>
      <c r="I39" s="46">
        <f>IFERROR(1-H39/G39,0)</f>
        <v/>
      </c>
      <c r="J39" s="23" t="n"/>
      <c r="K39" s="23" t="n"/>
      <c r="L39" s="50" t="n"/>
      <c r="M39" s="51">
        <f>IFERROR(G39*L39,0)</f>
        <v/>
      </c>
      <c r="N39" s="30" t="n"/>
      <c r="O39" s="23" t="n"/>
      <c r="P39" s="23" t="n"/>
      <c r="Q39" s="23" t="n"/>
      <c r="R39" s="23" t="n"/>
      <c r="S39" s="23" t="n"/>
      <c r="T39" s="23" t="n"/>
      <c r="U39" s="30" t="n"/>
      <c r="V39" s="30" t="n"/>
    </row>
    <row r="40" ht="15" customHeight="1" s="57">
      <c r="A40" s="23" t="n"/>
      <c r="B40" s="30" t="n"/>
      <c r="C40" s="30" t="n"/>
      <c r="D40" s="30" t="n"/>
      <c r="E40" s="30" t="n"/>
      <c r="F40" s="23" t="n"/>
      <c r="G40" s="23" t="n"/>
      <c r="H40" s="50" t="n"/>
      <c r="I40" s="46">
        <f>IFERROR(1-H40/G40,0)</f>
        <v/>
      </c>
      <c r="J40" s="23" t="n"/>
      <c r="K40" s="23" t="n"/>
      <c r="L40" s="50" t="n"/>
      <c r="M40" s="51">
        <f>IFERROR(G40*L40,0)</f>
        <v/>
      </c>
      <c r="N40" s="30" t="n"/>
      <c r="O40" s="23" t="n"/>
      <c r="P40" s="23" t="n"/>
      <c r="Q40" s="23" t="n"/>
      <c r="R40" s="23" t="n"/>
      <c r="S40" s="23" t="n"/>
      <c r="T40" s="23" t="n"/>
      <c r="U40" s="30" t="n"/>
      <c r="V40" s="30" t="n"/>
    </row>
    <row r="41" ht="15" customHeight="1" s="57">
      <c r="A41" s="23" t="n"/>
      <c r="B41" s="30" t="n"/>
      <c r="C41" s="30" t="n"/>
      <c r="D41" s="30" t="n"/>
      <c r="E41" s="30" t="n"/>
      <c r="F41" s="23" t="n"/>
      <c r="G41" s="23" t="n"/>
      <c r="H41" s="50" t="n"/>
      <c r="I41" s="46">
        <f>IFERROR(1-H41/G41,0)</f>
        <v/>
      </c>
      <c r="J41" s="23" t="n"/>
      <c r="K41" s="23" t="n"/>
      <c r="L41" s="50" t="n"/>
      <c r="M41" s="51">
        <f>IFERROR(G41*L41,0)</f>
        <v/>
      </c>
      <c r="N41" s="30" t="n"/>
      <c r="O41" s="23" t="n"/>
      <c r="P41" s="23" t="n"/>
      <c r="Q41" s="23" t="n"/>
      <c r="R41" s="23" t="n"/>
      <c r="S41" s="23" t="n"/>
      <c r="T41" s="23" t="n"/>
      <c r="U41" s="30" t="n"/>
      <c r="V41" s="30" t="n"/>
    </row>
    <row r="42" ht="15" customHeight="1" s="57">
      <c r="A42" s="23" t="n"/>
      <c r="B42" s="30" t="n"/>
      <c r="C42" s="30" t="n"/>
      <c r="D42" s="30" t="n"/>
      <c r="E42" s="30" t="n"/>
      <c r="F42" s="23" t="n"/>
      <c r="G42" s="23" t="n"/>
      <c r="H42" s="50" t="n"/>
      <c r="I42" s="46">
        <f>IFERROR(1-H42/G42,0)</f>
        <v/>
      </c>
      <c r="J42" s="23" t="n"/>
      <c r="K42" s="23" t="n"/>
      <c r="L42" s="50" t="n"/>
      <c r="M42" s="51">
        <f>IFERROR(G42*L42,0)</f>
        <v/>
      </c>
      <c r="N42" s="30" t="n"/>
      <c r="O42" s="23" t="n"/>
      <c r="P42" s="23" t="n"/>
      <c r="Q42" s="23" t="n"/>
      <c r="R42" s="23" t="n"/>
      <c r="S42" s="23" t="n"/>
      <c r="T42" s="23" t="n"/>
      <c r="U42" s="30" t="n"/>
      <c r="V42" s="30" t="n"/>
    </row>
    <row r="43" ht="15" customHeight="1" s="57">
      <c r="A43" s="23" t="n"/>
      <c r="B43" s="30" t="n"/>
      <c r="C43" s="30" t="n"/>
      <c r="D43" s="30" t="n"/>
      <c r="E43" s="30" t="n"/>
      <c r="F43" s="23" t="n"/>
      <c r="G43" s="23" t="n"/>
      <c r="H43" s="50" t="n"/>
      <c r="I43" s="46">
        <f>IFERROR(1-H43/G43,0)</f>
        <v/>
      </c>
      <c r="J43" s="23" t="n"/>
      <c r="K43" s="23" t="n"/>
      <c r="L43" s="50" t="n"/>
      <c r="M43" s="51">
        <f>IFERROR(G43*L43,0)</f>
        <v/>
      </c>
      <c r="N43" s="30" t="n"/>
      <c r="O43" s="23" t="n"/>
      <c r="P43" s="23" t="n"/>
      <c r="Q43" s="23" t="n"/>
      <c r="R43" s="23" t="n"/>
      <c r="S43" s="23" t="n"/>
      <c r="T43" s="23" t="n"/>
      <c r="U43" s="30" t="n"/>
      <c r="V43" s="30" t="n"/>
    </row>
    <row r="44" ht="15" customHeight="1" s="57">
      <c r="A44" s="23" t="n"/>
      <c r="B44" s="30" t="n"/>
      <c r="C44" s="30" t="n"/>
      <c r="D44" s="30" t="n"/>
      <c r="E44" s="30" t="n"/>
      <c r="F44" s="23" t="n"/>
      <c r="G44" s="23" t="n"/>
      <c r="H44" s="50" t="n"/>
      <c r="I44" s="46">
        <f>IFERROR(1-H44/G44,0)</f>
        <v/>
      </c>
      <c r="J44" s="23" t="n"/>
      <c r="K44" s="23" t="n"/>
      <c r="L44" s="50" t="n"/>
      <c r="M44" s="51">
        <f>IFERROR(G44*L44,0)</f>
        <v/>
      </c>
      <c r="N44" s="30" t="n"/>
      <c r="O44" s="23" t="n"/>
      <c r="P44" s="23" t="n"/>
      <c r="Q44" s="23" t="n"/>
      <c r="R44" s="23" t="n"/>
      <c r="S44" s="23" t="n"/>
      <c r="T44" s="23" t="n"/>
      <c r="U44" s="30" t="n"/>
      <c r="V44" s="30" t="n"/>
    </row>
    <row r="45" ht="15" customHeight="1" s="57">
      <c r="A45" s="23" t="n"/>
      <c r="B45" s="30" t="n"/>
      <c r="C45" s="30" t="n"/>
      <c r="D45" s="30" t="n"/>
      <c r="E45" s="30" t="n"/>
      <c r="F45" s="23" t="n"/>
      <c r="G45" s="23" t="n"/>
      <c r="H45" s="50" t="n"/>
      <c r="I45" s="46">
        <f>IFERROR(1-H45/G45,0)</f>
        <v/>
      </c>
      <c r="J45" s="23" t="n"/>
      <c r="K45" s="23" t="n"/>
      <c r="L45" s="50" t="n"/>
      <c r="M45" s="51">
        <f>IFERROR(G45*L45,0)</f>
        <v/>
      </c>
      <c r="N45" s="30" t="n"/>
      <c r="O45" s="23" t="n"/>
      <c r="P45" s="23" t="n"/>
      <c r="Q45" s="23" t="n"/>
      <c r="R45" s="23" t="n"/>
      <c r="S45" s="23" t="n"/>
      <c r="T45" s="23" t="n"/>
      <c r="U45" s="30" t="n"/>
      <c r="V45" s="30" t="n"/>
    </row>
    <row r="46" ht="15" customHeight="1" s="57">
      <c r="A46" s="23" t="n"/>
      <c r="B46" s="30" t="n"/>
      <c r="C46" s="30" t="n"/>
      <c r="D46" s="30" t="n"/>
      <c r="E46" s="30" t="n"/>
      <c r="F46" s="23" t="n"/>
      <c r="G46" s="23" t="n"/>
      <c r="H46" s="50" t="n"/>
      <c r="I46" s="46">
        <f>IFERROR(1-H46/G46,0)</f>
        <v/>
      </c>
      <c r="J46" s="23" t="n"/>
      <c r="K46" s="23" t="n"/>
      <c r="L46" s="50" t="n"/>
      <c r="M46" s="51">
        <f>IFERROR(G46*L46,0)</f>
        <v/>
      </c>
      <c r="N46" s="30" t="n"/>
      <c r="O46" s="23" t="n"/>
      <c r="P46" s="23" t="n"/>
      <c r="Q46" s="23" t="n"/>
      <c r="R46" s="23" t="n"/>
      <c r="S46" s="23" t="n"/>
      <c r="T46" s="23" t="n"/>
      <c r="U46" s="30" t="n"/>
      <c r="V46" s="30" t="n"/>
    </row>
    <row r="47" ht="15" customHeight="1" s="57">
      <c r="A47" s="23" t="n"/>
      <c r="B47" s="30" t="n"/>
      <c r="C47" s="30" t="n"/>
      <c r="D47" s="30" t="n"/>
      <c r="E47" s="30" t="n"/>
      <c r="F47" s="23" t="n"/>
      <c r="G47" s="23" t="n"/>
      <c r="H47" s="50" t="n"/>
      <c r="I47" s="46">
        <f>IFERROR(1-H47/G47,0)</f>
        <v/>
      </c>
      <c r="J47" s="23" t="n"/>
      <c r="K47" s="23" t="n"/>
      <c r="L47" s="50" t="n"/>
      <c r="M47" s="51">
        <f>IFERROR(G47*L47,0)</f>
        <v/>
      </c>
      <c r="N47" s="30" t="n"/>
      <c r="O47" s="23" t="n"/>
      <c r="P47" s="23" t="n"/>
      <c r="Q47" s="23" t="n"/>
      <c r="R47" s="23" t="n"/>
      <c r="S47" s="23" t="n"/>
      <c r="T47" s="23" t="n"/>
      <c r="U47" s="30" t="n"/>
      <c r="V47" s="30" t="n"/>
    </row>
    <row r="48" ht="15" customHeight="1" s="57">
      <c r="A48" s="23" t="n"/>
      <c r="B48" s="30" t="n"/>
      <c r="C48" s="30" t="n"/>
      <c r="D48" s="30" t="n"/>
      <c r="E48" s="30" t="n"/>
      <c r="F48" s="23" t="n"/>
      <c r="G48" s="23" t="n"/>
      <c r="H48" s="50" t="n"/>
      <c r="I48" s="46">
        <f>IFERROR(1-H48/G48,0)</f>
        <v/>
      </c>
      <c r="J48" s="23" t="n"/>
      <c r="K48" s="23" t="n"/>
      <c r="L48" s="50" t="n"/>
      <c r="M48" s="51">
        <f>IFERROR(G48*L48,0)</f>
        <v/>
      </c>
      <c r="N48" s="30" t="n"/>
      <c r="O48" s="23" t="n"/>
      <c r="P48" s="23" t="n"/>
      <c r="Q48" s="23" t="n"/>
      <c r="R48" s="23" t="n"/>
      <c r="S48" s="23" t="n"/>
      <c r="T48" s="23" t="n"/>
      <c r="U48" s="30" t="n"/>
      <c r="V48" s="30" t="n"/>
    </row>
    <row r="49" ht="15" customHeight="1" s="57">
      <c r="A49" s="23" t="n"/>
      <c r="B49" s="30" t="n"/>
      <c r="C49" s="30" t="n"/>
      <c r="D49" s="30" t="n"/>
      <c r="E49" s="30" t="n"/>
      <c r="F49" s="23" t="n"/>
      <c r="G49" s="23" t="n"/>
      <c r="H49" s="50" t="n"/>
      <c r="I49" s="46">
        <f>IFERROR(1-H49/G49,0)</f>
        <v/>
      </c>
      <c r="J49" s="23" t="n"/>
      <c r="K49" s="23" t="n"/>
      <c r="L49" s="50" t="n"/>
      <c r="M49" s="51">
        <f>IFERROR(G49*L49,0)</f>
        <v/>
      </c>
      <c r="N49" s="30" t="n"/>
      <c r="O49" s="23" t="n"/>
      <c r="P49" s="23" t="n"/>
      <c r="Q49" s="23" t="n"/>
      <c r="R49" s="23" t="n"/>
      <c r="S49" s="23" t="n"/>
      <c r="T49" s="23" t="n"/>
      <c r="U49" s="30" t="n"/>
      <c r="V49" s="30" t="n"/>
    </row>
    <row r="50" ht="15" customHeight="1" s="57">
      <c r="A50" s="23" t="n"/>
      <c r="B50" s="30" t="n"/>
      <c r="C50" s="30" t="n"/>
      <c r="D50" s="30" t="n"/>
      <c r="E50" s="30" t="n"/>
      <c r="F50" s="23" t="n"/>
      <c r="G50" s="23" t="n"/>
      <c r="H50" s="50" t="n"/>
      <c r="I50" s="46">
        <f>IFERROR(1-H50/G50,0)</f>
        <v/>
      </c>
      <c r="J50" s="23" t="n"/>
      <c r="K50" s="23" t="n"/>
      <c r="L50" s="50" t="n"/>
      <c r="M50" s="51">
        <f>IFERROR(G50*L50,0)</f>
        <v/>
      </c>
      <c r="N50" s="30" t="n"/>
      <c r="O50" s="23" t="n"/>
      <c r="P50" s="23" t="n"/>
      <c r="Q50" s="23" t="n"/>
      <c r="R50" s="23" t="n"/>
      <c r="S50" s="23" t="n"/>
      <c r="T50" s="23" t="n"/>
      <c r="U50" s="30" t="n"/>
      <c r="V50" s="30" t="n"/>
    </row>
    <row r="51" ht="15" customHeight="1" s="57">
      <c r="A51" s="23" t="n"/>
      <c r="B51" s="30" t="n"/>
      <c r="C51" s="30" t="n"/>
      <c r="D51" s="30" t="n"/>
      <c r="E51" s="30" t="n"/>
      <c r="F51" s="23" t="n"/>
      <c r="G51" s="23" t="n"/>
      <c r="H51" s="50" t="n"/>
      <c r="I51" s="46">
        <f>IFERROR(1-H51/G51,0)</f>
        <v/>
      </c>
      <c r="J51" s="23" t="n"/>
      <c r="K51" s="23" t="n"/>
      <c r="L51" s="50" t="n"/>
      <c r="M51" s="51">
        <f>IFERROR(G51*L51,0)</f>
        <v/>
      </c>
      <c r="N51" s="30" t="n"/>
      <c r="O51" s="23" t="n"/>
      <c r="P51" s="23" t="n"/>
      <c r="Q51" s="23" t="n"/>
      <c r="R51" s="23" t="n"/>
      <c r="S51" s="23" t="n"/>
      <c r="T51" s="23" t="n"/>
      <c r="U51" s="30" t="n"/>
      <c r="V51" s="30" t="n"/>
    </row>
    <row r="52" ht="15" customHeight="1" s="57">
      <c r="A52" s="23" t="n"/>
      <c r="B52" s="30" t="n"/>
      <c r="C52" s="30" t="n"/>
      <c r="D52" s="30" t="n"/>
      <c r="E52" s="30" t="n"/>
      <c r="F52" s="23" t="n"/>
      <c r="G52" s="23" t="n"/>
      <c r="H52" s="50" t="n"/>
      <c r="I52" s="46">
        <f>IFERROR(1-H52/G52,0)</f>
        <v/>
      </c>
      <c r="J52" s="23" t="n"/>
      <c r="K52" s="23" t="n"/>
      <c r="L52" s="50" t="n"/>
      <c r="M52" s="51">
        <f>IFERROR(G52*L52,0)</f>
        <v/>
      </c>
      <c r="N52" s="30" t="n"/>
      <c r="O52" s="23" t="n"/>
      <c r="P52" s="23" t="n"/>
      <c r="Q52" s="23" t="n"/>
      <c r="R52" s="23" t="n"/>
      <c r="S52" s="23" t="n"/>
      <c r="T52" s="23" t="n"/>
      <c r="U52" s="30" t="n"/>
      <c r="V52" s="30" t="n"/>
    </row>
    <row r="53" ht="15" customHeight="1" s="57">
      <c r="A53" s="23" t="n"/>
      <c r="B53" s="30" t="n"/>
      <c r="C53" s="30" t="n"/>
      <c r="D53" s="30" t="n"/>
      <c r="E53" s="30" t="n"/>
      <c r="F53" s="23" t="n"/>
      <c r="G53" s="23" t="n"/>
      <c r="H53" s="50" t="n"/>
      <c r="I53" s="46">
        <f>IFERROR(1-H53/G53,0)</f>
        <v/>
      </c>
      <c r="J53" s="23" t="n"/>
      <c r="K53" s="23" t="n"/>
      <c r="L53" s="50" t="n"/>
      <c r="M53" s="51">
        <f>IFERROR(G53*L53,0)</f>
        <v/>
      </c>
      <c r="N53" s="30" t="n"/>
      <c r="O53" s="23" t="n"/>
      <c r="P53" s="23" t="n"/>
      <c r="Q53" s="23" t="n"/>
      <c r="R53" s="23" t="n"/>
      <c r="S53" s="23" t="n"/>
      <c r="T53" s="23" t="n"/>
      <c r="U53" s="30" t="n"/>
      <c r="V53" s="30" t="n"/>
    </row>
    <row r="54" ht="15" customHeight="1" s="57">
      <c r="A54" s="23" t="n"/>
      <c r="B54" s="30" t="n"/>
      <c r="C54" s="30" t="n"/>
      <c r="D54" s="30" t="n"/>
      <c r="E54" s="30" t="n"/>
      <c r="F54" s="23" t="n"/>
      <c r="G54" s="23" t="n"/>
      <c r="H54" s="50" t="n"/>
      <c r="I54" s="46">
        <f>IFERROR(1-H54/G54,0)</f>
        <v/>
      </c>
      <c r="J54" s="23" t="n"/>
      <c r="K54" s="23" t="n"/>
      <c r="L54" s="50" t="n"/>
      <c r="M54" s="51">
        <f>IFERROR(G54*L54,0)</f>
        <v/>
      </c>
      <c r="N54" s="30" t="n"/>
      <c r="O54" s="23" t="n"/>
      <c r="P54" s="23" t="n"/>
      <c r="Q54" s="23" t="n"/>
      <c r="R54" s="23" t="n"/>
      <c r="S54" s="23" t="n"/>
      <c r="T54" s="23" t="n"/>
      <c r="U54" s="30" t="n"/>
      <c r="V54" s="30" t="n"/>
    </row>
    <row r="55" ht="15" customHeight="1" s="57">
      <c r="A55" s="23" t="n"/>
      <c r="B55" s="30" t="n"/>
      <c r="C55" s="30" t="n"/>
      <c r="D55" s="30" t="n"/>
      <c r="E55" s="30" t="n"/>
      <c r="F55" s="23" t="n"/>
      <c r="G55" s="23" t="n"/>
      <c r="H55" s="50" t="n"/>
      <c r="I55" s="46">
        <f>IFERROR(1-H55/G55,0)</f>
        <v/>
      </c>
      <c r="J55" s="23" t="n"/>
      <c r="K55" s="23" t="n"/>
      <c r="L55" s="50" t="n"/>
      <c r="M55" s="51">
        <f>IFERROR(G55*L55,0)</f>
        <v/>
      </c>
      <c r="N55" s="30" t="n"/>
      <c r="O55" s="23" t="n"/>
      <c r="P55" s="23" t="n"/>
      <c r="Q55" s="23" t="n"/>
      <c r="R55" s="23" t="n"/>
      <c r="S55" s="23" t="n"/>
      <c r="T55" s="23" t="n"/>
      <c r="U55" s="30" t="n"/>
      <c r="V55" s="30" t="n"/>
    </row>
    <row r="56" ht="15" customHeight="1" s="57">
      <c r="A56" s="23" t="n"/>
      <c r="B56" s="30" t="n"/>
      <c r="C56" s="30" t="n"/>
      <c r="D56" s="30" t="n"/>
      <c r="E56" s="30" t="n"/>
      <c r="F56" s="23" t="n"/>
      <c r="G56" s="23" t="n"/>
      <c r="H56" s="50" t="n"/>
      <c r="I56" s="46">
        <f>IFERROR(1-H56/G56,0)</f>
        <v/>
      </c>
      <c r="J56" s="23" t="n"/>
      <c r="K56" s="23" t="n"/>
      <c r="L56" s="50" t="n"/>
      <c r="M56" s="51">
        <f>IFERROR(G56*L56,0)</f>
        <v/>
      </c>
      <c r="N56" s="30" t="n"/>
      <c r="O56" s="23" t="n"/>
      <c r="P56" s="23" t="n"/>
      <c r="Q56" s="23" t="n"/>
      <c r="R56" s="23" t="n"/>
      <c r="S56" s="23" t="n"/>
      <c r="T56" s="23" t="n"/>
      <c r="U56" s="30" t="n"/>
      <c r="V56" s="30" t="n"/>
    </row>
    <row r="57" ht="15" customHeight="1" s="57">
      <c r="A57" s="23" t="n"/>
      <c r="B57" s="30" t="n"/>
      <c r="C57" s="30" t="n"/>
      <c r="D57" s="30" t="n"/>
      <c r="E57" s="30" t="n"/>
      <c r="F57" s="23" t="n"/>
      <c r="G57" s="23" t="n"/>
      <c r="H57" s="50" t="n"/>
      <c r="I57" s="46">
        <f>IFERROR(1-H57/G57,0)</f>
        <v/>
      </c>
      <c r="J57" s="23" t="n"/>
      <c r="K57" s="23" t="n"/>
      <c r="L57" s="50" t="n"/>
      <c r="M57" s="51">
        <f>IFERROR(G57*L57,0)</f>
        <v/>
      </c>
      <c r="N57" s="30" t="n"/>
      <c r="O57" s="23" t="n"/>
      <c r="P57" s="23" t="n"/>
      <c r="Q57" s="23" t="n"/>
      <c r="R57" s="23" t="n"/>
      <c r="S57" s="23" t="n"/>
      <c r="T57" s="23" t="n"/>
      <c r="U57" s="30" t="n"/>
      <c r="V57" s="30" t="n"/>
    </row>
    <row r="58" ht="15" customHeight="1" s="57">
      <c r="A58" s="23" t="n"/>
      <c r="B58" s="30" t="n"/>
      <c r="C58" s="30" t="n"/>
      <c r="D58" s="30" t="n"/>
      <c r="E58" s="30" t="n"/>
      <c r="F58" s="23" t="n"/>
      <c r="G58" s="23" t="n"/>
      <c r="H58" s="50" t="n"/>
      <c r="I58" s="46">
        <f>IFERROR(1-H58/G58,0)</f>
        <v/>
      </c>
      <c r="J58" s="23" t="n"/>
      <c r="K58" s="23" t="n"/>
      <c r="L58" s="50" t="n"/>
      <c r="M58" s="51">
        <f>IFERROR(G58*L58,0)</f>
        <v/>
      </c>
      <c r="N58" s="30" t="n"/>
      <c r="O58" s="23" t="n"/>
      <c r="P58" s="23" t="n"/>
      <c r="Q58" s="23" t="n"/>
      <c r="R58" s="23" t="n"/>
      <c r="S58" s="23" t="n"/>
      <c r="T58" s="23" t="n"/>
      <c r="U58" s="30" t="n"/>
      <c r="V58" s="30" t="n"/>
    </row>
    <row r="59" ht="15" customHeight="1" s="57">
      <c r="A59" s="23" t="n"/>
      <c r="B59" s="30" t="n"/>
      <c r="C59" s="30" t="n"/>
      <c r="D59" s="30" t="n"/>
      <c r="E59" s="30" t="n"/>
      <c r="F59" s="23" t="n"/>
      <c r="G59" s="23" t="n"/>
      <c r="H59" s="50" t="n"/>
      <c r="I59" s="46">
        <f>IFERROR(1-H59/G59,0)</f>
        <v/>
      </c>
      <c r="J59" s="23" t="n"/>
      <c r="K59" s="23" t="n"/>
      <c r="L59" s="50" t="n"/>
      <c r="M59" s="51">
        <f>IFERROR(G59*L59,0)</f>
        <v/>
      </c>
      <c r="N59" s="30" t="n"/>
      <c r="O59" s="23" t="n"/>
      <c r="P59" s="23" t="n"/>
      <c r="Q59" s="23" t="n"/>
      <c r="R59" s="23" t="n"/>
      <c r="S59" s="23" t="n"/>
      <c r="T59" s="23" t="n"/>
      <c r="U59" s="30" t="n"/>
      <c r="V59" s="30" t="n"/>
    </row>
    <row r="60" ht="15" customHeight="1" s="57">
      <c r="A60" s="23" t="n"/>
      <c r="B60" s="30" t="n"/>
      <c r="C60" s="30" t="n"/>
      <c r="D60" s="30" t="n"/>
      <c r="E60" s="30" t="n"/>
      <c r="F60" s="23" t="n"/>
      <c r="G60" s="23" t="n"/>
      <c r="H60" s="50" t="n"/>
      <c r="I60" s="46">
        <f>IFERROR(1-H60/G60,0)</f>
        <v/>
      </c>
      <c r="J60" s="23" t="n"/>
      <c r="K60" s="23" t="n"/>
      <c r="L60" s="50" t="n"/>
      <c r="M60" s="51">
        <f>IFERROR(G60*L60,0)</f>
        <v/>
      </c>
      <c r="N60" s="30" t="n"/>
      <c r="O60" s="23" t="n"/>
      <c r="P60" s="23" t="n"/>
      <c r="Q60" s="23" t="n"/>
      <c r="R60" s="23" t="n"/>
      <c r="S60" s="23" t="n"/>
      <c r="T60" s="23" t="n"/>
      <c r="U60" s="30" t="n"/>
      <c r="V60" s="30" t="n"/>
    </row>
    <row r="61" ht="15" customHeight="1" s="57">
      <c r="A61" s="23" t="n"/>
      <c r="B61" s="30" t="n"/>
      <c r="C61" s="30" t="n"/>
      <c r="D61" s="30" t="n"/>
      <c r="E61" s="30" t="n"/>
      <c r="F61" s="23" t="n"/>
      <c r="G61" s="23" t="n"/>
      <c r="H61" s="50" t="n"/>
      <c r="I61" s="46">
        <f>IFERROR(1-H61/G61,0)</f>
        <v/>
      </c>
      <c r="J61" s="23" t="n"/>
      <c r="K61" s="23" t="n"/>
      <c r="L61" s="50" t="n"/>
      <c r="M61" s="51">
        <f>IFERROR(G61*L61,0)</f>
        <v/>
      </c>
      <c r="N61" s="30" t="n"/>
      <c r="O61" s="23" t="n"/>
      <c r="P61" s="23" t="n"/>
      <c r="Q61" s="23" t="n"/>
      <c r="R61" s="23" t="n"/>
      <c r="S61" s="23" t="n"/>
      <c r="T61" s="23" t="n"/>
      <c r="U61" s="30" t="n"/>
      <c r="V61" s="30" t="n"/>
    </row>
    <row r="62" ht="15" customHeight="1" s="57">
      <c r="A62" s="23" t="n"/>
      <c r="B62" s="30" t="n"/>
      <c r="C62" s="30" t="n"/>
      <c r="D62" s="30" t="n"/>
      <c r="E62" s="30" t="n"/>
      <c r="F62" s="23" t="n"/>
      <c r="G62" s="23" t="n"/>
      <c r="H62" s="50" t="n"/>
      <c r="I62" s="46">
        <f>IFERROR(1-H62/G62,0)</f>
        <v/>
      </c>
      <c r="J62" s="23" t="n"/>
      <c r="K62" s="23" t="n"/>
      <c r="L62" s="50" t="n"/>
      <c r="M62" s="51">
        <f>IFERROR(G62*L62,0)</f>
        <v/>
      </c>
      <c r="N62" s="30" t="n"/>
      <c r="O62" s="23" t="n"/>
      <c r="P62" s="23" t="n"/>
      <c r="Q62" s="23" t="n"/>
      <c r="R62" s="23" t="n"/>
      <c r="S62" s="23" t="n"/>
      <c r="T62" s="23" t="n"/>
      <c r="U62" s="30" t="n"/>
      <c r="V62" s="30" t="n"/>
    </row>
    <row r="63" ht="15" customHeight="1" s="57">
      <c r="A63" s="23" t="n"/>
      <c r="B63" s="30" t="n"/>
      <c r="C63" s="30" t="n"/>
      <c r="D63" s="30" t="n"/>
      <c r="E63" s="30" t="n"/>
      <c r="F63" s="23" t="n"/>
      <c r="G63" s="23" t="n"/>
      <c r="H63" s="50" t="n"/>
      <c r="I63" s="46">
        <f>IFERROR(1-H63/G63,0)</f>
        <v/>
      </c>
      <c r="J63" s="23" t="n"/>
      <c r="K63" s="23" t="n"/>
      <c r="L63" s="50" t="n"/>
      <c r="M63" s="51">
        <f>IFERROR(G63*L63,0)</f>
        <v/>
      </c>
      <c r="N63" s="30" t="n"/>
      <c r="O63" s="23" t="n"/>
      <c r="P63" s="23" t="n"/>
      <c r="Q63" s="23" t="n"/>
      <c r="R63" s="23" t="n"/>
      <c r="S63" s="23" t="n"/>
      <c r="T63" s="23" t="n"/>
      <c r="U63" s="30" t="n"/>
      <c r="V63" s="30" t="n"/>
    </row>
    <row r="64" ht="15" customHeight="1" s="57">
      <c r="A64" s="23" t="n"/>
      <c r="B64" s="30" t="n"/>
      <c r="C64" s="30" t="n"/>
      <c r="D64" s="30" t="n"/>
      <c r="E64" s="30" t="n"/>
      <c r="F64" s="23" t="n"/>
      <c r="G64" s="23" t="n"/>
      <c r="H64" s="50" t="n"/>
      <c r="I64" s="46">
        <f>IFERROR(1-H64/G64,0)</f>
        <v/>
      </c>
      <c r="J64" s="23" t="n"/>
      <c r="K64" s="23" t="n"/>
      <c r="L64" s="50" t="n"/>
      <c r="M64" s="51">
        <f>IFERROR(G64*L64,0)</f>
        <v/>
      </c>
      <c r="N64" s="30" t="n"/>
      <c r="O64" s="23" t="n"/>
      <c r="P64" s="23" t="n"/>
      <c r="Q64" s="23" t="n"/>
      <c r="R64" s="23" t="n"/>
      <c r="S64" s="23" t="n"/>
      <c r="T64" s="23" t="n"/>
      <c r="U64" s="30" t="n"/>
      <c r="V64" s="30" t="n"/>
    </row>
    <row r="65" ht="15" customHeight="1" s="57">
      <c r="A65" s="23" t="n"/>
      <c r="B65" s="30" t="n"/>
      <c r="C65" s="30" t="n"/>
      <c r="D65" s="30" t="n"/>
      <c r="E65" s="30" t="n"/>
      <c r="F65" s="23" t="n"/>
      <c r="G65" s="23" t="n"/>
      <c r="H65" s="50" t="n"/>
      <c r="I65" s="46">
        <f>IFERROR(1-H65/G65,0)</f>
        <v/>
      </c>
      <c r="J65" s="23" t="n"/>
      <c r="K65" s="23" t="n"/>
      <c r="L65" s="50" t="n"/>
      <c r="M65" s="51">
        <f>IFERROR(G65*L65,0)</f>
        <v/>
      </c>
      <c r="N65" s="30" t="n"/>
      <c r="O65" s="23" t="n"/>
      <c r="P65" s="23" t="n"/>
      <c r="Q65" s="23" t="n"/>
      <c r="R65" s="23" t="n"/>
      <c r="S65" s="23" t="n"/>
      <c r="T65" s="23" t="n"/>
      <c r="U65" s="30" t="n"/>
      <c r="V65" s="30" t="n"/>
    </row>
    <row r="66" ht="15" customHeight="1" s="57">
      <c r="A66" s="23" t="n"/>
      <c r="B66" s="30" t="n"/>
      <c r="C66" s="30" t="n"/>
      <c r="D66" s="30" t="n"/>
      <c r="E66" s="30" t="n"/>
      <c r="F66" s="23" t="n"/>
      <c r="G66" s="23" t="n"/>
      <c r="H66" s="50" t="n"/>
      <c r="I66" s="46">
        <f>IFERROR(1-H66/G66,0)</f>
        <v/>
      </c>
      <c r="J66" s="23" t="n"/>
      <c r="K66" s="23" t="n"/>
      <c r="L66" s="50" t="n"/>
      <c r="M66" s="51">
        <f>IFERROR(G66*L66,0)</f>
        <v/>
      </c>
      <c r="N66" s="30" t="n"/>
      <c r="O66" s="23" t="n"/>
      <c r="P66" s="23" t="n"/>
      <c r="Q66" s="23" t="n"/>
      <c r="R66" s="23" t="n"/>
      <c r="S66" s="23" t="n"/>
      <c r="T66" s="23" t="n"/>
      <c r="U66" s="30" t="n"/>
      <c r="V66" s="30" t="n"/>
    </row>
    <row r="67" ht="15" customHeight="1" s="57">
      <c r="A67" s="23" t="n"/>
      <c r="B67" s="30" t="n"/>
      <c r="C67" s="30" t="n"/>
      <c r="D67" s="30" t="n"/>
      <c r="E67" s="30" t="n"/>
      <c r="F67" s="23" t="n"/>
      <c r="G67" s="23" t="n"/>
      <c r="H67" s="50" t="n"/>
      <c r="I67" s="46">
        <f>IFERROR(1-H67/G67,0)</f>
        <v/>
      </c>
      <c r="J67" s="23" t="n"/>
      <c r="K67" s="23" t="n"/>
      <c r="L67" s="50" t="n"/>
      <c r="M67" s="51">
        <f>IFERROR(G67*L67,0)</f>
        <v/>
      </c>
      <c r="N67" s="30" t="n"/>
      <c r="O67" s="23" t="n"/>
      <c r="P67" s="23" t="n"/>
      <c r="Q67" s="23" t="n"/>
      <c r="R67" s="23" t="n"/>
      <c r="S67" s="23" t="n"/>
      <c r="T67" s="23" t="n"/>
      <c r="U67" s="30" t="n"/>
      <c r="V67" s="30" t="n"/>
    </row>
    <row r="68" ht="15" customHeight="1" s="57">
      <c r="A68" s="23" t="n"/>
      <c r="B68" s="30" t="n"/>
      <c r="C68" s="30" t="n"/>
      <c r="D68" s="30" t="n"/>
      <c r="E68" s="30" t="n"/>
      <c r="F68" s="23" t="n"/>
      <c r="G68" s="23" t="n"/>
      <c r="H68" s="50" t="n"/>
      <c r="I68" s="46">
        <f>IFERROR(1-H68/G68,0)</f>
        <v/>
      </c>
      <c r="J68" s="23" t="n"/>
      <c r="K68" s="23" t="n"/>
      <c r="L68" s="50" t="n"/>
      <c r="M68" s="51">
        <f>IFERROR(G68*L68,0)</f>
        <v/>
      </c>
      <c r="N68" s="30" t="n"/>
      <c r="O68" s="23" t="n"/>
      <c r="P68" s="23" t="n"/>
      <c r="Q68" s="23" t="n"/>
      <c r="R68" s="23" t="n"/>
      <c r="S68" s="23" t="n"/>
      <c r="T68" s="23" t="n"/>
      <c r="U68" s="30" t="n"/>
      <c r="V68" s="30" t="n"/>
    </row>
    <row r="69" ht="15" customHeight="1" s="57">
      <c r="A69" s="23" t="n"/>
      <c r="B69" s="30" t="n"/>
      <c r="C69" s="30" t="n"/>
      <c r="D69" s="30" t="n"/>
      <c r="E69" s="30" t="n"/>
      <c r="F69" s="23" t="n"/>
      <c r="G69" s="23" t="n"/>
      <c r="H69" s="50" t="n"/>
      <c r="I69" s="46">
        <f>IFERROR(1-H69/G69,0)</f>
        <v/>
      </c>
      <c r="J69" s="23" t="n"/>
      <c r="K69" s="23" t="n"/>
      <c r="L69" s="50" t="n"/>
      <c r="M69" s="51">
        <f>IFERROR(G69*L69,0)</f>
        <v/>
      </c>
      <c r="N69" s="30" t="n"/>
      <c r="O69" s="23" t="n"/>
      <c r="P69" s="23" t="n"/>
      <c r="Q69" s="23" t="n"/>
      <c r="R69" s="23" t="n"/>
      <c r="S69" s="23" t="n"/>
      <c r="T69" s="23" t="n"/>
      <c r="U69" s="30" t="n"/>
      <c r="V69" s="30" t="n"/>
    </row>
    <row r="70" ht="15" customHeight="1" s="57">
      <c r="A70" s="23" t="n"/>
      <c r="B70" s="30" t="n"/>
      <c r="C70" s="30" t="n"/>
      <c r="D70" s="30" t="n"/>
      <c r="E70" s="30" t="n"/>
      <c r="F70" s="23" t="n"/>
      <c r="G70" s="23" t="n"/>
      <c r="H70" s="50" t="n"/>
      <c r="I70" s="46">
        <f>IFERROR(1-H70/G70,0)</f>
        <v/>
      </c>
      <c r="J70" s="23" t="n"/>
      <c r="K70" s="23" t="n"/>
      <c r="L70" s="50" t="n"/>
      <c r="M70" s="51">
        <f>IFERROR(G70*L70,0)</f>
        <v/>
      </c>
      <c r="N70" s="30" t="n"/>
      <c r="O70" s="23" t="n"/>
      <c r="P70" s="23" t="n"/>
      <c r="Q70" s="23" t="n"/>
      <c r="R70" s="23" t="n"/>
      <c r="S70" s="23" t="n"/>
      <c r="T70" s="23" t="n"/>
      <c r="U70" s="30" t="n"/>
      <c r="V70" s="30" t="n"/>
    </row>
    <row r="71" ht="15" customHeight="1" s="57">
      <c r="A71" s="23" t="n"/>
      <c r="B71" s="30" t="n"/>
      <c r="C71" s="30" t="n"/>
      <c r="D71" s="30" t="n"/>
      <c r="E71" s="30" t="n"/>
      <c r="F71" s="23" t="n"/>
      <c r="G71" s="23" t="n"/>
      <c r="H71" s="50" t="n"/>
      <c r="I71" s="46">
        <f>IFERROR(1-H71/G71,0)</f>
        <v/>
      </c>
      <c r="J71" s="23" t="n"/>
      <c r="K71" s="23" t="n"/>
      <c r="L71" s="50" t="n"/>
      <c r="M71" s="51">
        <f>IFERROR(G71*L71,0)</f>
        <v/>
      </c>
      <c r="N71" s="30" t="n"/>
      <c r="O71" s="23" t="n"/>
      <c r="P71" s="23" t="n"/>
      <c r="Q71" s="23" t="n"/>
      <c r="R71" s="23" t="n"/>
      <c r="S71" s="23" t="n"/>
      <c r="T71" s="23" t="n"/>
      <c r="U71" s="30" t="n"/>
      <c r="V71" s="30" t="n"/>
    </row>
    <row r="72" ht="15" customHeight="1" s="57">
      <c r="A72" s="23" t="n"/>
      <c r="B72" s="30" t="n"/>
      <c r="C72" s="30" t="n"/>
      <c r="D72" s="30" t="n"/>
      <c r="E72" s="30" t="n"/>
      <c r="F72" s="23" t="n"/>
      <c r="G72" s="23" t="n"/>
      <c r="H72" s="50" t="n"/>
      <c r="I72" s="46">
        <f>IFERROR(1-H72/G72,0)</f>
        <v/>
      </c>
      <c r="J72" s="23" t="n"/>
      <c r="K72" s="23" t="n"/>
      <c r="L72" s="50" t="n"/>
      <c r="M72" s="51">
        <f>IFERROR(G72*L72,0)</f>
        <v/>
      </c>
      <c r="N72" s="30" t="n"/>
      <c r="O72" s="23" t="n"/>
      <c r="P72" s="23" t="n"/>
      <c r="Q72" s="23" t="n"/>
      <c r="R72" s="23" t="n"/>
      <c r="S72" s="23" t="n"/>
      <c r="T72" s="23" t="n"/>
      <c r="U72" s="30" t="n"/>
      <c r="V72" s="30" t="n"/>
    </row>
    <row r="73" ht="15" customHeight="1" s="57">
      <c r="A73" s="23" t="n"/>
      <c r="B73" s="30" t="n"/>
      <c r="C73" s="30" t="n"/>
      <c r="D73" s="30" t="n"/>
      <c r="E73" s="30" t="n"/>
      <c r="F73" s="23" t="n"/>
      <c r="G73" s="23" t="n"/>
      <c r="H73" s="50" t="n"/>
      <c r="I73" s="46">
        <f>IFERROR(1-H73/G73,0)</f>
        <v/>
      </c>
      <c r="J73" s="23" t="n"/>
      <c r="K73" s="23" t="n"/>
      <c r="L73" s="50" t="n"/>
      <c r="M73" s="51">
        <f>IFERROR(G73*L73,0)</f>
        <v/>
      </c>
      <c r="N73" s="30" t="n"/>
      <c r="O73" s="23" t="n"/>
      <c r="P73" s="23" t="n"/>
      <c r="Q73" s="23" t="n"/>
      <c r="R73" s="23" t="n"/>
      <c r="S73" s="23" t="n"/>
      <c r="T73" s="23" t="n"/>
      <c r="U73" s="30" t="n"/>
      <c r="V73" s="30" t="n"/>
    </row>
    <row r="74" ht="15" customHeight="1" s="57">
      <c r="A74" s="23" t="n"/>
      <c r="B74" s="30" t="n"/>
      <c r="C74" s="30" t="n"/>
      <c r="D74" s="30" t="n"/>
      <c r="E74" s="30" t="n"/>
      <c r="F74" s="23" t="n"/>
      <c r="G74" s="23" t="n"/>
      <c r="H74" s="50" t="n"/>
      <c r="I74" s="46">
        <f>IFERROR(1-H74/G74,0)</f>
        <v/>
      </c>
      <c r="J74" s="23" t="n"/>
      <c r="K74" s="23" t="n"/>
      <c r="L74" s="50" t="n"/>
      <c r="M74" s="51">
        <f>IFERROR(G74*L74,0)</f>
        <v/>
      </c>
      <c r="N74" s="30" t="n"/>
      <c r="O74" s="23" t="n"/>
      <c r="P74" s="23" t="n"/>
      <c r="Q74" s="23" t="n"/>
      <c r="R74" s="23" t="n"/>
      <c r="S74" s="23" t="n"/>
      <c r="T74" s="23" t="n"/>
      <c r="U74" s="30" t="n"/>
      <c r="V74" s="30" t="n"/>
    </row>
    <row r="75" ht="15" customHeight="1" s="57">
      <c r="A75" s="23" t="n"/>
      <c r="B75" s="30" t="n"/>
      <c r="C75" s="30" t="n"/>
      <c r="D75" s="30" t="n"/>
      <c r="E75" s="30" t="n"/>
      <c r="F75" s="23" t="n"/>
      <c r="G75" s="23" t="n"/>
      <c r="H75" s="50" t="n"/>
      <c r="I75" s="46">
        <f>IFERROR(1-H75/G75,0)</f>
        <v/>
      </c>
      <c r="J75" s="23" t="n"/>
      <c r="K75" s="23" t="n"/>
      <c r="L75" s="50" t="n"/>
      <c r="M75" s="51">
        <f>IFERROR(G75*L75,0)</f>
        <v/>
      </c>
      <c r="N75" s="30" t="n"/>
      <c r="O75" s="23" t="n"/>
      <c r="P75" s="23" t="n"/>
      <c r="Q75" s="23" t="n"/>
      <c r="R75" s="23" t="n"/>
      <c r="S75" s="23" t="n"/>
      <c r="T75" s="23" t="n"/>
      <c r="U75" s="30" t="n"/>
      <c r="V75" s="30" t="n"/>
    </row>
    <row r="76" ht="15" customHeight="1" s="57">
      <c r="A76" s="23" t="n"/>
      <c r="B76" s="30" t="n"/>
      <c r="C76" s="30" t="n"/>
      <c r="D76" s="30" t="n"/>
      <c r="E76" s="30" t="n"/>
      <c r="F76" s="23" t="n"/>
      <c r="G76" s="23" t="n"/>
      <c r="H76" s="50" t="n"/>
      <c r="I76" s="46">
        <f>IFERROR(1-H76/G76,0)</f>
        <v/>
      </c>
      <c r="J76" s="23" t="n"/>
      <c r="K76" s="23" t="n"/>
      <c r="L76" s="50" t="n"/>
      <c r="M76" s="51">
        <f>IFERROR(G76*L76,0)</f>
        <v/>
      </c>
      <c r="N76" s="30" t="n"/>
      <c r="O76" s="23" t="n"/>
      <c r="P76" s="23" t="n"/>
      <c r="Q76" s="23" t="n"/>
      <c r="R76" s="23" t="n"/>
      <c r="S76" s="23" t="n"/>
      <c r="T76" s="23" t="n"/>
      <c r="U76" s="30" t="n"/>
      <c r="V76" s="30" t="n"/>
    </row>
    <row r="77" ht="15" customHeight="1" s="57">
      <c r="A77" s="23" t="n"/>
      <c r="B77" s="30" t="n"/>
      <c r="C77" s="30" t="n"/>
      <c r="D77" s="30" t="n"/>
      <c r="E77" s="30" t="n"/>
      <c r="F77" s="23" t="n"/>
      <c r="G77" s="23" t="n"/>
      <c r="H77" s="50" t="n"/>
      <c r="I77" s="46">
        <f>IFERROR(1-H77/G77,0)</f>
        <v/>
      </c>
      <c r="J77" s="23" t="n"/>
      <c r="K77" s="23" t="n"/>
      <c r="L77" s="50" t="n"/>
      <c r="M77" s="51">
        <f>IFERROR(G77*L77,0)</f>
        <v/>
      </c>
      <c r="N77" s="30" t="n"/>
      <c r="O77" s="23" t="n"/>
      <c r="P77" s="23" t="n"/>
      <c r="Q77" s="23" t="n"/>
      <c r="R77" s="23" t="n"/>
      <c r="S77" s="23" t="n"/>
      <c r="T77" s="23" t="n"/>
      <c r="U77" s="30" t="n"/>
      <c r="V77" s="30" t="n"/>
    </row>
    <row r="78" ht="15" customHeight="1" s="57">
      <c r="A78" s="23" t="n"/>
      <c r="B78" s="30" t="n"/>
      <c r="C78" s="30" t="n"/>
      <c r="D78" s="30" t="n"/>
      <c r="E78" s="30" t="n"/>
      <c r="F78" s="23" t="n"/>
      <c r="G78" s="23" t="n"/>
      <c r="H78" s="50" t="n"/>
      <c r="I78" s="46">
        <f>IFERROR(1-H78/G78,0)</f>
        <v/>
      </c>
      <c r="J78" s="23" t="n"/>
      <c r="K78" s="23" t="n"/>
      <c r="L78" s="50" t="n"/>
      <c r="M78" s="51">
        <f>IFERROR(G78*L78,0)</f>
        <v/>
      </c>
      <c r="N78" s="30" t="n"/>
      <c r="O78" s="23" t="n"/>
      <c r="P78" s="23" t="n"/>
      <c r="Q78" s="23" t="n"/>
      <c r="R78" s="23" t="n"/>
      <c r="S78" s="23" t="n"/>
      <c r="T78" s="23" t="n"/>
      <c r="U78" s="30" t="n"/>
      <c r="V78" s="30" t="n"/>
    </row>
    <row r="79" ht="15" customHeight="1" s="57">
      <c r="A79" s="23" t="n"/>
      <c r="B79" s="30" t="n"/>
      <c r="C79" s="30" t="n"/>
      <c r="D79" s="30" t="n"/>
      <c r="E79" s="30" t="n"/>
      <c r="F79" s="23" t="n"/>
      <c r="G79" s="23" t="n"/>
      <c r="H79" s="50" t="n"/>
      <c r="I79" s="46">
        <f>IFERROR(1-H79/G79,0)</f>
        <v/>
      </c>
      <c r="J79" s="23" t="n"/>
      <c r="K79" s="23" t="n"/>
      <c r="L79" s="50" t="n"/>
      <c r="M79" s="51">
        <f>IFERROR(G79*L79,0)</f>
        <v/>
      </c>
      <c r="N79" s="30" t="n"/>
      <c r="O79" s="23" t="n"/>
      <c r="P79" s="23" t="n"/>
      <c r="Q79" s="23" t="n"/>
      <c r="R79" s="23" t="n"/>
      <c r="S79" s="23" t="n"/>
      <c r="T79" s="23" t="n"/>
      <c r="U79" s="30" t="n"/>
      <c r="V79" s="30" t="n"/>
    </row>
    <row r="80" ht="15" customHeight="1" s="57">
      <c r="A80" s="23" t="n"/>
      <c r="B80" s="30" t="n"/>
      <c r="C80" s="30" t="n"/>
      <c r="D80" s="30" t="n"/>
      <c r="E80" s="30" t="n"/>
      <c r="F80" s="23" t="n"/>
      <c r="G80" s="23" t="n"/>
      <c r="H80" s="50" t="n"/>
      <c r="I80" s="46">
        <f>IFERROR(1-H80/G80,0)</f>
        <v/>
      </c>
      <c r="J80" s="23" t="n"/>
      <c r="K80" s="23" t="n"/>
      <c r="L80" s="50" t="n"/>
      <c r="M80" s="51">
        <f>IFERROR(G80*L80,0)</f>
        <v/>
      </c>
      <c r="N80" s="30" t="n"/>
      <c r="O80" s="23" t="n"/>
      <c r="P80" s="23" t="n"/>
      <c r="Q80" s="23" t="n"/>
      <c r="R80" s="23" t="n"/>
      <c r="S80" s="23" t="n"/>
      <c r="T80" s="23" t="n"/>
      <c r="U80" s="30" t="n"/>
      <c r="V80" s="30" t="n"/>
    </row>
    <row r="81" ht="15" customHeight="1" s="57">
      <c r="A81" s="23" t="n"/>
      <c r="B81" s="30" t="n"/>
      <c r="C81" s="30" t="n"/>
      <c r="D81" s="30" t="n"/>
      <c r="E81" s="30" t="n"/>
      <c r="F81" s="23" t="n"/>
      <c r="G81" s="23" t="n"/>
      <c r="H81" s="50" t="n"/>
      <c r="I81" s="46">
        <f>IFERROR(1-H81/G81,0)</f>
        <v/>
      </c>
      <c r="J81" s="23" t="n"/>
      <c r="K81" s="23" t="n"/>
      <c r="L81" s="50" t="n"/>
      <c r="M81" s="51">
        <f>IFERROR(G81*L81,0)</f>
        <v/>
      </c>
      <c r="N81" s="30" t="n"/>
      <c r="O81" s="23" t="n"/>
      <c r="P81" s="23" t="n"/>
      <c r="Q81" s="23" t="n"/>
      <c r="R81" s="23" t="n"/>
      <c r="S81" s="23" t="n"/>
      <c r="T81" s="23" t="n"/>
      <c r="U81" s="30" t="n"/>
      <c r="V81" s="30" t="n"/>
    </row>
    <row r="82" ht="15" customHeight="1" s="57">
      <c r="A82" s="23" t="n"/>
      <c r="B82" s="30" t="n"/>
      <c r="C82" s="30" t="n"/>
      <c r="D82" s="30" t="n"/>
      <c r="E82" s="30" t="n"/>
      <c r="F82" s="23" t="n"/>
      <c r="G82" s="23" t="n"/>
      <c r="H82" s="50" t="n"/>
      <c r="I82" s="46">
        <f>IFERROR(1-H82/G82,0)</f>
        <v/>
      </c>
      <c r="J82" s="23" t="n"/>
      <c r="K82" s="23" t="n"/>
      <c r="L82" s="50" t="n"/>
      <c r="M82" s="51">
        <f>IFERROR(G82*L82,0)</f>
        <v/>
      </c>
      <c r="N82" s="30" t="n"/>
      <c r="O82" s="23" t="n"/>
      <c r="P82" s="23" t="n"/>
      <c r="Q82" s="23" t="n"/>
      <c r="R82" s="23" t="n"/>
      <c r="S82" s="23" t="n"/>
      <c r="T82" s="23" t="n"/>
      <c r="U82" s="30" t="n"/>
      <c r="V82" s="30" t="n"/>
    </row>
    <row r="83" ht="15" customHeight="1" s="57">
      <c r="A83" s="23" t="n"/>
      <c r="B83" s="30" t="n"/>
      <c r="C83" s="30" t="n"/>
      <c r="D83" s="30" t="n"/>
      <c r="E83" s="30" t="n"/>
      <c r="F83" s="23" t="n"/>
      <c r="G83" s="23" t="n"/>
      <c r="H83" s="50" t="n"/>
      <c r="I83" s="46">
        <f>IFERROR(1-H83/G83,0)</f>
        <v/>
      </c>
      <c r="J83" s="23" t="n"/>
      <c r="K83" s="23" t="n"/>
      <c r="L83" s="50" t="n"/>
      <c r="M83" s="51">
        <f>IFERROR(G83*L83,0)</f>
        <v/>
      </c>
      <c r="N83" s="30" t="n"/>
      <c r="O83" s="23" t="n"/>
      <c r="P83" s="23" t="n"/>
      <c r="Q83" s="23" t="n"/>
      <c r="R83" s="23" t="n"/>
      <c r="S83" s="23" t="n"/>
      <c r="T83" s="23" t="n"/>
      <c r="U83" s="30" t="n"/>
      <c r="V83" s="30" t="n"/>
    </row>
    <row r="84" ht="15" customHeight="1" s="57">
      <c r="A84" s="23" t="n"/>
      <c r="B84" s="30" t="n"/>
      <c r="C84" s="30" t="n"/>
      <c r="D84" s="30" t="n"/>
      <c r="E84" s="30" t="n"/>
      <c r="F84" s="23" t="n"/>
      <c r="G84" s="23" t="n"/>
      <c r="H84" s="50" t="n"/>
      <c r="I84" s="46">
        <f>IFERROR(1-H84/G84,0)</f>
        <v/>
      </c>
      <c r="J84" s="23" t="n"/>
      <c r="K84" s="23" t="n"/>
      <c r="L84" s="50" t="n"/>
      <c r="M84" s="51">
        <f>IFERROR(G84*L84,0)</f>
        <v/>
      </c>
      <c r="N84" s="30" t="n"/>
      <c r="O84" s="23" t="n"/>
      <c r="P84" s="23" t="n"/>
      <c r="Q84" s="23" t="n"/>
      <c r="R84" s="23" t="n"/>
      <c r="S84" s="23" t="n"/>
      <c r="T84" s="23" t="n"/>
      <c r="U84" s="30" t="n"/>
      <c r="V84" s="30" t="n"/>
    </row>
    <row r="85" ht="15" customHeight="1" s="57">
      <c r="A85" s="23" t="n"/>
      <c r="B85" s="30" t="n"/>
      <c r="C85" s="30" t="n"/>
      <c r="D85" s="30" t="n"/>
      <c r="E85" s="30" t="n"/>
      <c r="F85" s="23" t="n"/>
      <c r="G85" s="23" t="n"/>
      <c r="H85" s="50" t="n"/>
      <c r="I85" s="46">
        <f>IFERROR(1-H85/G85,0)</f>
        <v/>
      </c>
      <c r="J85" s="23" t="n"/>
      <c r="K85" s="23" t="n"/>
      <c r="L85" s="50" t="n"/>
      <c r="M85" s="51">
        <f>IFERROR(G85*L85,0)</f>
        <v/>
      </c>
      <c r="N85" s="30" t="n"/>
      <c r="O85" s="23" t="n"/>
      <c r="P85" s="23" t="n"/>
      <c r="Q85" s="23" t="n"/>
      <c r="R85" s="23" t="n"/>
      <c r="S85" s="23" t="n"/>
      <c r="T85" s="23" t="n"/>
      <c r="U85" s="30" t="n"/>
      <c r="V85" s="30" t="n"/>
    </row>
    <row r="86" ht="15" customHeight="1" s="57">
      <c r="A86" s="23" t="n"/>
      <c r="B86" s="30" t="n"/>
      <c r="C86" s="30" t="n"/>
      <c r="D86" s="30" t="n"/>
      <c r="E86" s="30" t="n"/>
      <c r="F86" s="23" t="n"/>
      <c r="G86" s="23" t="n"/>
      <c r="H86" s="50" t="n"/>
      <c r="I86" s="46">
        <f>IFERROR(1-H86/G86,0)</f>
        <v/>
      </c>
      <c r="J86" s="23" t="n"/>
      <c r="K86" s="23" t="n"/>
      <c r="L86" s="50" t="n"/>
      <c r="M86" s="51">
        <f>IFERROR(G86*L86,0)</f>
        <v/>
      </c>
      <c r="N86" s="30" t="n"/>
      <c r="O86" s="23" t="n"/>
      <c r="P86" s="23" t="n"/>
      <c r="Q86" s="23" t="n"/>
      <c r="R86" s="23" t="n"/>
      <c r="S86" s="23" t="n"/>
      <c r="T86" s="23" t="n"/>
      <c r="U86" s="30" t="n"/>
      <c r="V86" s="30" t="n"/>
    </row>
    <row r="87" ht="15" customHeight="1" s="57">
      <c r="A87" s="23" t="n"/>
      <c r="B87" s="30" t="n"/>
      <c r="C87" s="30" t="n"/>
      <c r="D87" s="30" t="n"/>
      <c r="E87" s="30" t="n"/>
      <c r="F87" s="23" t="n"/>
      <c r="G87" s="23" t="n"/>
      <c r="H87" s="50" t="n"/>
      <c r="I87" s="46">
        <f>IFERROR(1-H87/G87,0)</f>
        <v/>
      </c>
      <c r="J87" s="23" t="n"/>
      <c r="K87" s="23" t="n"/>
      <c r="L87" s="50" t="n"/>
      <c r="M87" s="51">
        <f>IFERROR(G87*L87,0)</f>
        <v/>
      </c>
      <c r="N87" s="30" t="n"/>
      <c r="O87" s="23" t="n"/>
      <c r="P87" s="23" t="n"/>
      <c r="Q87" s="23" t="n"/>
      <c r="R87" s="23" t="n"/>
      <c r="S87" s="23" t="n"/>
      <c r="T87" s="23" t="n"/>
      <c r="U87" s="30" t="n"/>
      <c r="V87" s="30" t="n"/>
    </row>
    <row r="88" ht="15" customHeight="1" s="57">
      <c r="A88" s="23" t="n"/>
      <c r="B88" s="30" t="n"/>
      <c r="C88" s="30" t="n"/>
      <c r="D88" s="30" t="n"/>
      <c r="E88" s="30" t="n"/>
      <c r="F88" s="23" t="n"/>
      <c r="G88" s="23" t="n"/>
      <c r="H88" s="50" t="n"/>
      <c r="I88" s="46">
        <f>IFERROR(1-H88/G88,0)</f>
        <v/>
      </c>
      <c r="J88" s="23" t="n"/>
      <c r="K88" s="23" t="n"/>
      <c r="L88" s="50" t="n"/>
      <c r="M88" s="51">
        <f>IFERROR(G88*L88,0)</f>
        <v/>
      </c>
      <c r="N88" s="30" t="n"/>
      <c r="O88" s="23" t="n"/>
      <c r="P88" s="23" t="n"/>
      <c r="Q88" s="23" t="n"/>
      <c r="R88" s="23" t="n"/>
      <c r="S88" s="23" t="n"/>
      <c r="T88" s="23" t="n"/>
      <c r="U88" s="30" t="n"/>
      <c r="V88" s="30" t="n"/>
    </row>
    <row r="89" ht="15" customHeight="1" s="57">
      <c r="A89" s="23" t="n"/>
      <c r="B89" s="30" t="n"/>
      <c r="C89" s="30" t="n"/>
      <c r="D89" s="30" t="n"/>
      <c r="E89" s="30" t="n"/>
      <c r="F89" s="23" t="n"/>
      <c r="G89" s="23" t="n"/>
      <c r="H89" s="50" t="n"/>
      <c r="I89" s="46">
        <f>IFERROR(1-H89/G89,0)</f>
        <v/>
      </c>
      <c r="J89" s="23" t="n"/>
      <c r="K89" s="23" t="n"/>
      <c r="L89" s="50" t="n"/>
      <c r="M89" s="51">
        <f>IFERROR(G89*L89,0)</f>
        <v/>
      </c>
      <c r="N89" s="30" t="n"/>
      <c r="O89" s="23" t="n"/>
      <c r="P89" s="23" t="n"/>
      <c r="Q89" s="23" t="n"/>
      <c r="R89" s="23" t="n"/>
      <c r="S89" s="23" t="n"/>
      <c r="T89" s="23" t="n"/>
      <c r="U89" s="30" t="n"/>
      <c r="V89" s="30" t="n"/>
    </row>
    <row r="90" ht="15" customHeight="1" s="57">
      <c r="A90" s="23" t="n"/>
      <c r="B90" s="30" t="n"/>
      <c r="C90" s="30" t="n"/>
      <c r="D90" s="30" t="n"/>
      <c r="E90" s="30" t="n"/>
      <c r="F90" s="23" t="n"/>
      <c r="G90" s="23" t="n"/>
      <c r="H90" s="50" t="n"/>
      <c r="I90" s="46">
        <f>IFERROR(1-H90/G90,0)</f>
        <v/>
      </c>
      <c r="J90" s="23" t="n"/>
      <c r="K90" s="23" t="n"/>
      <c r="L90" s="50" t="n"/>
      <c r="M90" s="51">
        <f>IFERROR(G90*L90,0)</f>
        <v/>
      </c>
      <c r="N90" s="30" t="n"/>
      <c r="O90" s="23" t="n"/>
      <c r="P90" s="23" t="n"/>
      <c r="Q90" s="23" t="n"/>
      <c r="R90" s="23" t="n"/>
      <c r="S90" s="23" t="n"/>
      <c r="T90" s="23" t="n"/>
      <c r="U90" s="30" t="n"/>
      <c r="V90" s="30" t="n"/>
    </row>
    <row r="91" ht="15" customHeight="1" s="57">
      <c r="A91" s="23" t="n"/>
      <c r="B91" s="30" t="n"/>
      <c r="C91" s="30" t="n"/>
      <c r="D91" s="30" t="n"/>
      <c r="E91" s="30" t="n"/>
      <c r="F91" s="23" t="n"/>
      <c r="G91" s="23" t="n"/>
      <c r="H91" s="50" t="n"/>
      <c r="I91" s="46">
        <f>IFERROR(1-H91/G91,0)</f>
        <v/>
      </c>
      <c r="J91" s="23" t="n"/>
      <c r="K91" s="23" t="n"/>
      <c r="L91" s="50" t="n"/>
      <c r="M91" s="51">
        <f>IFERROR(G91*L91,0)</f>
        <v/>
      </c>
      <c r="N91" s="30" t="n"/>
      <c r="O91" s="23" t="n"/>
      <c r="P91" s="23" t="n"/>
      <c r="Q91" s="23" t="n"/>
      <c r="R91" s="23" t="n"/>
      <c r="S91" s="23" t="n"/>
      <c r="T91" s="23" t="n"/>
      <c r="U91" s="30" t="n"/>
      <c r="V91" s="30" t="n"/>
    </row>
    <row r="92" ht="15" customHeight="1" s="57">
      <c r="A92" s="23" t="n"/>
      <c r="B92" s="30" t="n"/>
      <c r="C92" s="30" t="n"/>
      <c r="D92" s="30" t="n"/>
      <c r="E92" s="30" t="n"/>
      <c r="F92" s="23" t="n"/>
      <c r="G92" s="23" t="n"/>
      <c r="H92" s="50" t="n"/>
      <c r="I92" s="46">
        <f>IFERROR(1-H92/G92,0)</f>
        <v/>
      </c>
      <c r="J92" s="23" t="n"/>
      <c r="K92" s="23" t="n"/>
      <c r="L92" s="50" t="n"/>
      <c r="M92" s="51">
        <f>IFERROR(G92*L92,0)</f>
        <v/>
      </c>
      <c r="N92" s="30" t="n"/>
      <c r="O92" s="23" t="n"/>
      <c r="P92" s="23" t="n"/>
      <c r="Q92" s="23" t="n"/>
      <c r="R92" s="23" t="n"/>
      <c r="S92" s="23" t="n"/>
      <c r="T92" s="23" t="n"/>
      <c r="U92" s="30" t="n"/>
      <c r="V92" s="30" t="n"/>
    </row>
    <row r="93" ht="15" customHeight="1" s="57">
      <c r="A93" s="23" t="n"/>
      <c r="B93" s="30" t="n"/>
      <c r="C93" s="30" t="n"/>
      <c r="D93" s="30" t="n"/>
      <c r="E93" s="30" t="n"/>
      <c r="F93" s="23" t="n"/>
      <c r="G93" s="23" t="n"/>
      <c r="H93" s="50" t="n"/>
      <c r="I93" s="46">
        <f>IFERROR(1-H93/G93,0)</f>
        <v/>
      </c>
      <c r="J93" s="23" t="n"/>
      <c r="K93" s="23" t="n"/>
      <c r="L93" s="50" t="n"/>
      <c r="M93" s="51">
        <f>IFERROR(G93*L93,0)</f>
        <v/>
      </c>
      <c r="N93" s="30" t="n"/>
      <c r="O93" s="23" t="n"/>
      <c r="P93" s="23" t="n"/>
      <c r="Q93" s="23" t="n"/>
      <c r="R93" s="23" t="n"/>
      <c r="S93" s="23" t="n"/>
      <c r="T93" s="23" t="n"/>
      <c r="U93" s="30" t="n"/>
      <c r="V93" s="30" t="n"/>
    </row>
    <row r="94" ht="15" customHeight="1" s="57">
      <c r="A94" s="23" t="n"/>
      <c r="B94" s="30" t="n"/>
      <c r="C94" s="30" t="n"/>
      <c r="D94" s="30" t="n"/>
      <c r="E94" s="30" t="n"/>
      <c r="F94" s="23" t="n"/>
      <c r="G94" s="23" t="n"/>
      <c r="H94" s="50" t="n"/>
      <c r="I94" s="46">
        <f>IFERROR(1-H94/G94,0)</f>
        <v/>
      </c>
      <c r="J94" s="23" t="n"/>
      <c r="K94" s="23" t="n"/>
      <c r="L94" s="50" t="n"/>
      <c r="M94" s="51">
        <f>IFERROR(G94*L94,0)</f>
        <v/>
      </c>
      <c r="N94" s="30" t="n"/>
      <c r="O94" s="23" t="n"/>
      <c r="P94" s="23" t="n"/>
      <c r="Q94" s="23" t="n"/>
      <c r="R94" s="23" t="n"/>
      <c r="S94" s="23" t="n"/>
      <c r="T94" s="23" t="n"/>
      <c r="U94" s="30" t="n"/>
      <c r="V94" s="30" t="n"/>
    </row>
    <row r="95" ht="15" customHeight="1" s="57">
      <c r="A95" s="23" t="n"/>
      <c r="B95" s="30" t="n"/>
      <c r="C95" s="30" t="n"/>
      <c r="D95" s="30" t="n"/>
      <c r="E95" s="30" t="n"/>
      <c r="F95" s="23" t="n"/>
      <c r="G95" s="23" t="n"/>
      <c r="H95" s="50" t="n"/>
      <c r="I95" s="46">
        <f>IFERROR(1-H95/G95,0)</f>
        <v/>
      </c>
      <c r="J95" s="23" t="n"/>
      <c r="K95" s="23" t="n"/>
      <c r="L95" s="50" t="n"/>
      <c r="M95" s="51">
        <f>IFERROR(G95*L95,0)</f>
        <v/>
      </c>
      <c r="N95" s="30" t="n"/>
      <c r="O95" s="23" t="n"/>
      <c r="P95" s="23" t="n"/>
      <c r="Q95" s="23" t="n"/>
      <c r="R95" s="23" t="n"/>
      <c r="S95" s="23" t="n"/>
      <c r="T95" s="23" t="n"/>
      <c r="U95" s="30" t="n"/>
      <c r="V95" s="30" t="n"/>
    </row>
    <row r="96" ht="15" customHeight="1" s="57">
      <c r="A96" s="23" t="n"/>
      <c r="B96" s="30" t="n"/>
      <c r="C96" s="30" t="n"/>
      <c r="D96" s="30" t="n"/>
      <c r="E96" s="30" t="n"/>
      <c r="F96" s="23" t="n"/>
      <c r="G96" s="23" t="n"/>
      <c r="H96" s="50" t="n"/>
      <c r="I96" s="46">
        <f>IFERROR(1-H96/G96,0)</f>
        <v/>
      </c>
      <c r="J96" s="23" t="n"/>
      <c r="K96" s="23" t="n"/>
      <c r="L96" s="50" t="n"/>
      <c r="M96" s="51">
        <f>IFERROR(G96*L96,0)</f>
        <v/>
      </c>
      <c r="N96" s="30" t="n"/>
      <c r="O96" s="23" t="n"/>
      <c r="P96" s="23" t="n"/>
      <c r="Q96" s="23" t="n"/>
      <c r="R96" s="23" t="n"/>
      <c r="S96" s="23" t="n"/>
      <c r="T96" s="23" t="n"/>
      <c r="U96" s="30" t="n"/>
      <c r="V96" s="30" t="n"/>
    </row>
    <row r="97" ht="15" customHeight="1" s="57">
      <c r="A97" s="23" t="n"/>
      <c r="B97" s="30" t="n"/>
      <c r="C97" s="30" t="n"/>
      <c r="D97" s="30" t="n"/>
      <c r="E97" s="30" t="n"/>
      <c r="F97" s="23" t="n"/>
      <c r="G97" s="23" t="n"/>
      <c r="H97" s="50" t="n"/>
      <c r="I97" s="46">
        <f>IFERROR(1-H97/G97,0)</f>
        <v/>
      </c>
      <c r="J97" s="23" t="n"/>
      <c r="K97" s="23" t="n"/>
      <c r="L97" s="50" t="n"/>
      <c r="M97" s="51">
        <f>IFERROR(G97*L97,0)</f>
        <v/>
      </c>
      <c r="N97" s="30" t="n"/>
      <c r="O97" s="23" t="n"/>
      <c r="P97" s="23" t="n"/>
      <c r="Q97" s="23" t="n"/>
      <c r="R97" s="23" t="n"/>
      <c r="S97" s="23" t="n"/>
      <c r="T97" s="23" t="n"/>
      <c r="U97" s="30" t="n"/>
      <c r="V97" s="30" t="n"/>
    </row>
    <row r="98" ht="15" customHeight="1" s="57">
      <c r="A98" s="23" t="n"/>
      <c r="B98" s="30" t="n"/>
      <c r="C98" s="30" t="n"/>
      <c r="D98" s="30" t="n"/>
      <c r="E98" s="30" t="n"/>
      <c r="F98" s="23" t="n"/>
      <c r="G98" s="23" t="n"/>
      <c r="H98" s="50" t="n"/>
      <c r="I98" s="46">
        <f>IFERROR(1-H98/G98,0)</f>
        <v/>
      </c>
      <c r="J98" s="23" t="n"/>
      <c r="K98" s="23" t="n"/>
      <c r="L98" s="50" t="n"/>
      <c r="M98" s="51">
        <f>IFERROR(G98*L98,0)</f>
        <v/>
      </c>
      <c r="N98" s="30" t="n"/>
      <c r="O98" s="23" t="n"/>
      <c r="P98" s="23" t="n"/>
      <c r="Q98" s="23" t="n"/>
      <c r="R98" s="23" t="n"/>
      <c r="S98" s="23" t="n"/>
      <c r="T98" s="23" t="n"/>
      <c r="U98" s="30" t="n"/>
      <c r="V98" s="30" t="n"/>
    </row>
    <row r="99" ht="15" customHeight="1" s="57">
      <c r="A99" s="23" t="n"/>
      <c r="B99" s="30" t="n"/>
      <c r="C99" s="30" t="n"/>
      <c r="D99" s="30" t="n"/>
      <c r="E99" s="30" t="n"/>
      <c r="F99" s="23" t="n"/>
      <c r="G99" s="23" t="n"/>
      <c r="H99" s="50" t="n"/>
      <c r="I99" s="46">
        <f>IFERROR(1-H99/G99,0)</f>
        <v/>
      </c>
      <c r="J99" s="23" t="n"/>
      <c r="K99" s="23" t="n"/>
      <c r="L99" s="50" t="n"/>
      <c r="M99" s="51">
        <f>IFERROR(G99*L99,0)</f>
        <v/>
      </c>
      <c r="N99" s="30" t="n"/>
      <c r="O99" s="23" t="n"/>
      <c r="P99" s="23" t="n"/>
      <c r="Q99" s="23" t="n"/>
      <c r="R99" s="23" t="n"/>
      <c r="S99" s="23" t="n"/>
      <c r="T99" s="23" t="n"/>
      <c r="U99" s="30" t="n"/>
      <c r="V99" s="30" t="n"/>
    </row>
    <row r="100" ht="15" customHeight="1" s="57">
      <c r="A100" s="23" t="n"/>
      <c r="B100" s="30" t="n"/>
      <c r="C100" s="30" t="n"/>
      <c r="D100" s="30" t="n"/>
      <c r="E100" s="30" t="n"/>
      <c r="F100" s="23" t="n"/>
      <c r="G100" s="23" t="n"/>
      <c r="H100" s="50" t="n"/>
      <c r="I100" s="46">
        <f>IFERROR(1-H100/G100,0)</f>
        <v/>
      </c>
      <c r="J100" s="23" t="n"/>
      <c r="K100" s="23" t="n"/>
      <c r="L100" s="50" t="n"/>
      <c r="M100" s="51">
        <f>IFERROR(G100*L100,0)</f>
        <v/>
      </c>
      <c r="N100" s="30" t="n"/>
      <c r="O100" s="23" t="n"/>
      <c r="P100" s="23" t="n"/>
      <c r="Q100" s="23" t="n"/>
      <c r="R100" s="23" t="n"/>
      <c r="S100" s="23" t="n"/>
      <c r="T100" s="23" t="n"/>
      <c r="U100" s="30" t="n"/>
      <c r="V100" s="30" t="n"/>
    </row>
    <row r="101" ht="15" customHeight="1" s="57">
      <c r="A101" s="23" t="n"/>
      <c r="B101" s="30" t="n"/>
      <c r="C101" s="30" t="n"/>
      <c r="D101" s="30" t="n"/>
      <c r="E101" s="30" t="n"/>
      <c r="F101" s="23" t="n"/>
      <c r="G101" s="23" t="n"/>
      <c r="H101" s="50" t="n"/>
      <c r="I101" s="46">
        <f>IFERROR(1-H101/G101,0)</f>
        <v/>
      </c>
      <c r="J101" s="23" t="n"/>
      <c r="K101" s="23" t="n"/>
      <c r="L101" s="50" t="n"/>
      <c r="M101" s="51">
        <f>IFERROR(G101*L101,0)</f>
        <v/>
      </c>
      <c r="N101" s="30" t="n"/>
      <c r="O101" s="23" t="n"/>
      <c r="P101" s="23" t="n"/>
      <c r="Q101" s="23" t="n"/>
      <c r="R101" s="23" t="n"/>
      <c r="S101" s="23" t="n"/>
      <c r="T101" s="23" t="n"/>
      <c r="U101" s="30" t="n"/>
      <c r="V101" s="30" t="n"/>
    </row>
    <row r="102" ht="15" customHeight="1" s="57">
      <c r="A102" s="23" t="n"/>
      <c r="B102" s="30" t="n"/>
      <c r="C102" s="30" t="n"/>
      <c r="D102" s="30" t="n"/>
      <c r="E102" s="30" t="n"/>
      <c r="F102" s="23" t="n"/>
      <c r="G102" s="23" t="n"/>
      <c r="H102" s="50" t="n"/>
      <c r="I102" s="46">
        <f>IFERROR(1-H102/G102,0)</f>
        <v/>
      </c>
      <c r="J102" s="23" t="n"/>
      <c r="K102" s="23" t="n"/>
      <c r="L102" s="50" t="n"/>
      <c r="M102" s="51">
        <f>IFERROR(G102*L102,0)</f>
        <v/>
      </c>
      <c r="N102" s="30" t="n"/>
      <c r="O102" s="23" t="n"/>
      <c r="P102" s="23" t="n"/>
      <c r="Q102" s="23" t="n"/>
      <c r="R102" s="23" t="n"/>
      <c r="S102" s="23" t="n"/>
      <c r="T102" s="23" t="n"/>
      <c r="U102" s="30" t="n"/>
      <c r="V102" s="30" t="n"/>
    </row>
    <row r="103" ht="15" customHeight="1" s="57">
      <c r="A103" s="23" t="n"/>
      <c r="B103" s="30" t="n"/>
      <c r="C103" s="30" t="n"/>
      <c r="D103" s="30" t="n"/>
      <c r="E103" s="30" t="n"/>
      <c r="F103" s="23" t="n"/>
      <c r="G103" s="23" t="n"/>
      <c r="H103" s="50" t="n"/>
      <c r="I103" s="46">
        <f>IFERROR(1-H103/G103,0)</f>
        <v/>
      </c>
      <c r="J103" s="23" t="n"/>
      <c r="K103" s="23" t="n"/>
      <c r="L103" s="50" t="n"/>
      <c r="M103" s="51">
        <f>IFERROR(G103*L103,0)</f>
        <v/>
      </c>
      <c r="N103" s="30" t="n"/>
      <c r="O103" s="23" t="n"/>
      <c r="P103" s="23" t="n"/>
      <c r="Q103" s="23" t="n"/>
      <c r="R103" s="23" t="n"/>
      <c r="S103" s="23" t="n"/>
      <c r="T103" s="23" t="n"/>
      <c r="U103" s="30" t="n"/>
      <c r="V103" s="30" t="n"/>
    </row>
    <row r="104" ht="15" customHeight="1" s="57">
      <c r="A104" s="23" t="n"/>
      <c r="B104" s="30" t="n"/>
      <c r="C104" s="30" t="n"/>
      <c r="D104" s="30" t="n"/>
      <c r="E104" s="30" t="n"/>
      <c r="F104" s="23" t="n"/>
      <c r="G104" s="23" t="n"/>
      <c r="H104" s="50" t="n"/>
      <c r="I104" s="46">
        <f>IFERROR(1-H104/G104,0)</f>
        <v/>
      </c>
      <c r="J104" s="23" t="n"/>
      <c r="K104" s="23" t="n"/>
      <c r="L104" s="50" t="n"/>
      <c r="M104" s="51">
        <f>IFERROR(G104*L104,0)</f>
        <v/>
      </c>
      <c r="N104" s="30" t="n"/>
      <c r="O104" s="23" t="n"/>
      <c r="P104" s="23" t="n"/>
      <c r="Q104" s="23" t="n"/>
      <c r="R104" s="23" t="n"/>
      <c r="S104" s="23" t="n"/>
      <c r="T104" s="23" t="n"/>
      <c r="U104" s="30" t="n"/>
      <c r="V104" s="30" t="n"/>
    </row>
    <row r="105" ht="15" customHeight="1" s="57">
      <c r="A105" s="23" t="n"/>
      <c r="B105" s="30" t="n"/>
      <c r="C105" s="30" t="n"/>
      <c r="D105" s="30" t="n"/>
      <c r="E105" s="30" t="n"/>
      <c r="F105" s="23" t="n"/>
      <c r="G105" s="23" t="n"/>
      <c r="H105" s="50" t="n"/>
      <c r="I105" s="46">
        <f>IFERROR(1-H105/G105,0)</f>
        <v/>
      </c>
      <c r="J105" s="23" t="n"/>
      <c r="K105" s="23" t="n"/>
      <c r="L105" s="50" t="n"/>
      <c r="M105" s="51">
        <f>IFERROR(G105*L105,0)</f>
        <v/>
      </c>
      <c r="N105" s="30" t="n"/>
      <c r="O105" s="23" t="n"/>
      <c r="P105" s="23" t="n"/>
      <c r="Q105" s="23" t="n"/>
      <c r="R105" s="23" t="n"/>
      <c r="S105" s="23" t="n"/>
      <c r="T105" s="23" t="n"/>
      <c r="U105" s="30" t="n"/>
      <c r="V105" s="30" t="n"/>
    </row>
    <row r="106" ht="15" customHeight="1" s="57">
      <c r="A106" s="23" t="n"/>
      <c r="B106" s="30" t="n"/>
      <c r="C106" s="30" t="n"/>
      <c r="D106" s="30" t="n"/>
      <c r="E106" s="30" t="n"/>
      <c r="F106" s="23" t="n"/>
      <c r="G106" s="23" t="n"/>
      <c r="H106" s="50" t="n"/>
      <c r="I106" s="46">
        <f>IFERROR(1-H106/G106,0)</f>
        <v/>
      </c>
      <c r="J106" s="23" t="n"/>
      <c r="K106" s="23" t="n"/>
      <c r="L106" s="50" t="n"/>
      <c r="M106" s="51">
        <f>IFERROR(G106*L106,0)</f>
        <v/>
      </c>
      <c r="N106" s="30" t="n"/>
      <c r="O106" s="23" t="n"/>
      <c r="P106" s="23" t="n"/>
      <c r="Q106" s="23" t="n"/>
      <c r="R106" s="23" t="n"/>
      <c r="S106" s="23" t="n"/>
      <c r="T106" s="23" t="n"/>
      <c r="U106" s="30" t="n"/>
      <c r="V106" s="30" t="n"/>
    </row>
    <row r="107" ht="15" customHeight="1" s="57">
      <c r="A107" s="23" t="n"/>
      <c r="B107" s="30" t="n"/>
      <c r="C107" s="30" t="n"/>
      <c r="D107" s="30" t="n"/>
      <c r="E107" s="30" t="n"/>
      <c r="F107" s="23" t="n"/>
      <c r="G107" s="23" t="n"/>
      <c r="H107" s="50" t="n"/>
      <c r="I107" s="46">
        <f>IFERROR(1-H107/G107,0)</f>
        <v/>
      </c>
      <c r="J107" s="23" t="n"/>
      <c r="K107" s="23" t="n"/>
      <c r="L107" s="50" t="n"/>
      <c r="M107" s="51">
        <f>IFERROR(G107*L107,0)</f>
        <v/>
      </c>
      <c r="N107" s="30" t="n"/>
      <c r="O107" s="23" t="n"/>
      <c r="P107" s="23" t="n"/>
      <c r="Q107" s="23" t="n"/>
      <c r="R107" s="23" t="n"/>
      <c r="S107" s="23" t="n"/>
      <c r="T107" s="23" t="n"/>
      <c r="U107" s="30" t="n"/>
      <c r="V107" s="30" t="n"/>
    </row>
    <row r="108" ht="15" customHeight="1" s="57">
      <c r="A108" s="23" t="n"/>
      <c r="B108" s="30" t="n"/>
      <c r="C108" s="30" t="n"/>
      <c r="D108" s="30" t="n"/>
      <c r="E108" s="30" t="n"/>
      <c r="F108" s="23" t="n"/>
      <c r="G108" s="23" t="n"/>
      <c r="H108" s="50" t="n"/>
      <c r="I108" s="46">
        <f>IFERROR(1-H108/G108,0)</f>
        <v/>
      </c>
      <c r="J108" s="23" t="n"/>
      <c r="K108" s="23" t="n"/>
      <c r="L108" s="50" t="n"/>
      <c r="M108" s="51">
        <f>IFERROR(G108*L108,0)</f>
        <v/>
      </c>
      <c r="N108" s="30" t="n"/>
      <c r="O108" s="23" t="n"/>
      <c r="P108" s="23" t="n"/>
      <c r="Q108" s="23" t="n"/>
      <c r="R108" s="23" t="n"/>
      <c r="S108" s="23" t="n"/>
      <c r="T108" s="23" t="n"/>
      <c r="U108" s="30" t="n"/>
      <c r="V108" s="30" t="n"/>
    </row>
    <row r="109" ht="15" customHeight="1" s="57">
      <c r="A109" s="23" t="n"/>
      <c r="B109" s="30" t="n"/>
      <c r="C109" s="30" t="n"/>
      <c r="D109" s="30" t="n"/>
      <c r="E109" s="30" t="n"/>
      <c r="F109" s="23" t="n"/>
      <c r="G109" s="23" t="n"/>
      <c r="H109" s="50" t="n"/>
      <c r="I109" s="46">
        <f>IFERROR(1-H109/G109,0)</f>
        <v/>
      </c>
      <c r="J109" s="23" t="n"/>
      <c r="K109" s="23" t="n"/>
      <c r="L109" s="50" t="n"/>
      <c r="M109" s="51">
        <f>IFERROR(G109*L109,0)</f>
        <v/>
      </c>
      <c r="N109" s="30" t="n"/>
      <c r="O109" s="23" t="n"/>
      <c r="P109" s="23" t="n"/>
      <c r="Q109" s="23" t="n"/>
      <c r="R109" s="23" t="n"/>
      <c r="S109" s="23" t="n"/>
      <c r="T109" s="23" t="n"/>
      <c r="U109" s="30" t="n"/>
      <c r="V109" s="30" t="n"/>
    </row>
    <row r="110" ht="15" customHeight="1" s="57">
      <c r="A110" s="23" t="n"/>
      <c r="B110" s="30" t="n"/>
      <c r="C110" s="30" t="n"/>
      <c r="D110" s="30" t="n"/>
      <c r="E110" s="30" t="n"/>
      <c r="F110" s="23" t="n"/>
      <c r="G110" s="23" t="n"/>
      <c r="H110" s="50" t="n"/>
      <c r="I110" s="46">
        <f>IFERROR(1-H110/G110,0)</f>
        <v/>
      </c>
      <c r="J110" s="23" t="n"/>
      <c r="K110" s="23" t="n"/>
      <c r="L110" s="50" t="n"/>
      <c r="M110" s="51">
        <f>IFERROR(G110*L110,0)</f>
        <v/>
      </c>
      <c r="N110" s="30" t="n"/>
      <c r="O110" s="23" t="n"/>
      <c r="P110" s="23" t="n"/>
      <c r="Q110" s="23" t="n"/>
      <c r="R110" s="23" t="n"/>
      <c r="S110" s="23" t="n"/>
      <c r="T110" s="23" t="n"/>
      <c r="U110" s="30" t="n"/>
      <c r="V110" s="30" t="n"/>
    </row>
    <row r="111" ht="15" customHeight="1" s="57">
      <c r="A111" s="23" t="n"/>
      <c r="B111" s="30" t="n"/>
      <c r="C111" s="30" t="n"/>
      <c r="D111" s="30" t="n"/>
      <c r="E111" s="30" t="n"/>
      <c r="F111" s="23" t="n"/>
      <c r="G111" s="23" t="n"/>
      <c r="H111" s="50" t="n"/>
      <c r="I111" s="46">
        <f>IFERROR(1-H111/G111,0)</f>
        <v/>
      </c>
      <c r="J111" s="23" t="n"/>
      <c r="K111" s="23" t="n"/>
      <c r="L111" s="50" t="n"/>
      <c r="M111" s="51">
        <f>IFERROR(G111*L111,0)</f>
        <v/>
      </c>
      <c r="N111" s="30" t="n"/>
      <c r="O111" s="23" t="n"/>
      <c r="P111" s="23" t="n"/>
      <c r="Q111" s="23" t="n"/>
      <c r="R111" s="23" t="n"/>
      <c r="S111" s="23" t="n"/>
      <c r="T111" s="23" t="n"/>
      <c r="U111" s="30" t="n"/>
      <c r="V111" s="30" t="n"/>
    </row>
    <row r="112" ht="15" customHeight="1" s="57">
      <c r="A112" s="23" t="n"/>
      <c r="B112" s="30" t="n"/>
      <c r="C112" s="30" t="n"/>
      <c r="D112" s="30" t="n"/>
      <c r="E112" s="30" t="n"/>
      <c r="F112" s="23" t="n"/>
      <c r="G112" s="23" t="n"/>
      <c r="H112" s="50" t="n"/>
      <c r="I112" s="46">
        <f>IFERROR(1-H112/G112,0)</f>
        <v/>
      </c>
      <c r="J112" s="23" t="n"/>
      <c r="K112" s="23" t="n"/>
      <c r="L112" s="50" t="n"/>
      <c r="M112" s="51">
        <f>IFERROR(G112*L112,0)</f>
        <v/>
      </c>
      <c r="N112" s="30" t="n"/>
      <c r="O112" s="23" t="n"/>
      <c r="P112" s="23" t="n"/>
      <c r="Q112" s="23" t="n"/>
      <c r="R112" s="23" t="n"/>
      <c r="S112" s="23" t="n"/>
      <c r="T112" s="23" t="n"/>
      <c r="U112" s="30" t="n"/>
      <c r="V112" s="30" t="n"/>
    </row>
    <row r="113" ht="15" customHeight="1" s="57">
      <c r="A113" s="23" t="n"/>
      <c r="B113" s="30" t="n"/>
      <c r="C113" s="30" t="n"/>
      <c r="D113" s="30" t="n"/>
      <c r="E113" s="30" t="n"/>
      <c r="F113" s="23" t="n"/>
      <c r="G113" s="23" t="n"/>
      <c r="H113" s="50" t="n"/>
      <c r="I113" s="46">
        <f>IFERROR(1-H113/G113,0)</f>
        <v/>
      </c>
      <c r="J113" s="23" t="n"/>
      <c r="K113" s="23" t="n"/>
      <c r="L113" s="50" t="n"/>
      <c r="M113" s="51">
        <f>IFERROR(G113*L113,0)</f>
        <v/>
      </c>
      <c r="N113" s="30" t="n"/>
      <c r="O113" s="23" t="n"/>
      <c r="P113" s="23" t="n"/>
      <c r="Q113" s="23" t="n"/>
      <c r="R113" s="23" t="n"/>
      <c r="S113" s="23" t="n"/>
      <c r="T113" s="23" t="n"/>
      <c r="U113" s="30" t="n"/>
      <c r="V113" s="30" t="n"/>
    </row>
    <row r="114" ht="15" customHeight="1" s="57">
      <c r="A114" s="23" t="n"/>
      <c r="B114" s="30" t="n"/>
      <c r="C114" s="30" t="n"/>
      <c r="D114" s="30" t="n"/>
      <c r="E114" s="30" t="n"/>
      <c r="F114" s="23" t="n"/>
      <c r="G114" s="23" t="n"/>
      <c r="H114" s="50" t="n"/>
      <c r="I114" s="46">
        <f>IFERROR(1-H114/G114,0)</f>
        <v/>
      </c>
      <c r="J114" s="23" t="n"/>
      <c r="K114" s="23" t="n"/>
      <c r="L114" s="50" t="n"/>
      <c r="M114" s="51">
        <f>IFERROR(G114*L114,0)</f>
        <v/>
      </c>
      <c r="N114" s="30" t="n"/>
      <c r="O114" s="23" t="n"/>
      <c r="P114" s="23" t="n"/>
      <c r="Q114" s="23" t="n"/>
      <c r="R114" s="23" t="n"/>
      <c r="S114" s="23" t="n"/>
      <c r="T114" s="23" t="n"/>
      <c r="U114" s="30" t="n"/>
      <c r="V114" s="30" t="n"/>
    </row>
    <row r="115" ht="15" customHeight="1" s="57">
      <c r="A115" s="23" t="n"/>
      <c r="B115" s="30" t="n"/>
      <c r="C115" s="30" t="n"/>
      <c r="D115" s="30" t="n"/>
      <c r="E115" s="30" t="n"/>
      <c r="F115" s="23" t="n"/>
      <c r="G115" s="23" t="n"/>
      <c r="H115" s="50" t="n"/>
      <c r="I115" s="46">
        <f>IFERROR(1-H115/G115,0)</f>
        <v/>
      </c>
      <c r="J115" s="23" t="n"/>
      <c r="K115" s="23" t="n"/>
      <c r="L115" s="50" t="n"/>
      <c r="M115" s="51">
        <f>IFERROR(G115*L115,0)</f>
        <v/>
      </c>
      <c r="N115" s="30" t="n"/>
      <c r="O115" s="23" t="n"/>
      <c r="P115" s="23" t="n"/>
      <c r="Q115" s="23" t="n"/>
      <c r="R115" s="23" t="n"/>
      <c r="S115" s="23" t="n"/>
      <c r="T115" s="23" t="n"/>
      <c r="U115" s="30" t="n"/>
      <c r="V115" s="30" t="n"/>
    </row>
    <row r="116" ht="15" customHeight="1" s="57">
      <c r="A116" s="23" t="n"/>
      <c r="B116" s="30" t="n"/>
      <c r="C116" s="30" t="n"/>
      <c r="D116" s="30" t="n"/>
      <c r="E116" s="30" t="n"/>
      <c r="F116" s="23" t="n"/>
      <c r="G116" s="23" t="n"/>
      <c r="H116" s="50" t="n"/>
      <c r="I116" s="46">
        <f>IFERROR(1-H116/G116,0)</f>
        <v/>
      </c>
      <c r="J116" s="23" t="n"/>
      <c r="K116" s="23" t="n"/>
      <c r="L116" s="50" t="n"/>
      <c r="M116" s="51">
        <f>IFERROR(G116*L116,0)</f>
        <v/>
      </c>
      <c r="N116" s="30" t="n"/>
      <c r="O116" s="23" t="n"/>
      <c r="P116" s="23" t="n"/>
      <c r="Q116" s="23" t="n"/>
      <c r="R116" s="23" t="n"/>
      <c r="S116" s="23" t="n"/>
      <c r="T116" s="23" t="n"/>
      <c r="U116" s="30" t="n"/>
      <c r="V116" s="30" t="n"/>
    </row>
    <row r="117" ht="15" customHeight="1" s="57">
      <c r="A117" s="23" t="n"/>
      <c r="B117" s="30" t="n"/>
      <c r="C117" s="30" t="n"/>
      <c r="D117" s="30" t="n"/>
      <c r="E117" s="30" t="n"/>
      <c r="F117" s="23" t="n"/>
      <c r="G117" s="23" t="n"/>
      <c r="H117" s="50" t="n"/>
      <c r="I117" s="46">
        <f>IFERROR(1-H117/G117,0)</f>
        <v/>
      </c>
      <c r="J117" s="23" t="n"/>
      <c r="K117" s="23" t="n"/>
      <c r="L117" s="50" t="n"/>
      <c r="M117" s="51">
        <f>IFERROR(G117*L117,0)</f>
        <v/>
      </c>
      <c r="N117" s="30" t="n"/>
      <c r="O117" s="23" t="n"/>
      <c r="P117" s="23" t="n"/>
      <c r="Q117" s="23" t="n"/>
      <c r="R117" s="23" t="n"/>
      <c r="S117" s="23" t="n"/>
      <c r="T117" s="23" t="n"/>
      <c r="U117" s="30" t="n"/>
      <c r="V117" s="30" t="n"/>
    </row>
    <row r="118" ht="15" customHeight="1" s="57">
      <c r="A118" s="23" t="n"/>
      <c r="B118" s="30" t="n"/>
      <c r="C118" s="30" t="n"/>
      <c r="D118" s="30" t="n"/>
      <c r="E118" s="30" t="n"/>
      <c r="F118" s="23" t="n"/>
      <c r="G118" s="23" t="n"/>
      <c r="H118" s="50" t="n"/>
      <c r="I118" s="46">
        <f>IFERROR(1-H118/G118,0)</f>
        <v/>
      </c>
      <c r="J118" s="23" t="n"/>
      <c r="K118" s="23" t="n"/>
      <c r="L118" s="50" t="n"/>
      <c r="M118" s="51">
        <f>IFERROR(G118*L118,0)</f>
        <v/>
      </c>
      <c r="N118" s="30" t="n"/>
      <c r="O118" s="23" t="n"/>
      <c r="P118" s="23" t="n"/>
      <c r="Q118" s="23" t="n"/>
      <c r="R118" s="23" t="n"/>
      <c r="S118" s="23" t="n"/>
      <c r="T118" s="23" t="n"/>
      <c r="U118" s="30" t="n"/>
      <c r="V118" s="30" t="n"/>
    </row>
    <row r="119" ht="15" customHeight="1" s="57">
      <c r="A119" s="23" t="n"/>
      <c r="B119" s="30" t="n"/>
      <c r="C119" s="30" t="n"/>
      <c r="D119" s="30" t="n"/>
      <c r="E119" s="30" t="n"/>
      <c r="F119" s="23" t="n"/>
      <c r="G119" s="23" t="n"/>
      <c r="H119" s="50" t="n"/>
      <c r="I119" s="46">
        <f>IFERROR(1-H119/G119,0)</f>
        <v/>
      </c>
      <c r="J119" s="23" t="n"/>
      <c r="K119" s="23" t="n"/>
      <c r="L119" s="50" t="n"/>
      <c r="M119" s="51">
        <f>IFERROR(G119*L119,0)</f>
        <v/>
      </c>
      <c r="N119" s="30" t="n"/>
      <c r="O119" s="23" t="n"/>
      <c r="P119" s="23" t="n"/>
      <c r="Q119" s="23" t="n"/>
      <c r="R119" s="23" t="n"/>
      <c r="S119" s="23" t="n"/>
      <c r="T119" s="23" t="n"/>
      <c r="U119" s="30" t="n"/>
      <c r="V119" s="30" t="n"/>
    </row>
    <row r="120" ht="15" customHeight="1" s="57">
      <c r="A120" s="23" t="n"/>
      <c r="B120" s="30" t="n"/>
      <c r="C120" s="30" t="n"/>
      <c r="D120" s="30" t="n"/>
      <c r="E120" s="30" t="n"/>
      <c r="F120" s="23" t="n"/>
      <c r="G120" s="23" t="n"/>
      <c r="H120" s="50" t="n"/>
      <c r="I120" s="46">
        <f>IFERROR(1-H120/G120,0)</f>
        <v/>
      </c>
      <c r="J120" s="23" t="n"/>
      <c r="K120" s="23" t="n"/>
      <c r="L120" s="50" t="n"/>
      <c r="M120" s="51">
        <f>IFERROR(G120*L120,0)</f>
        <v/>
      </c>
      <c r="N120" s="30" t="n"/>
      <c r="O120" s="23" t="n"/>
      <c r="P120" s="23" t="n"/>
      <c r="Q120" s="23" t="n"/>
      <c r="R120" s="23" t="n"/>
      <c r="S120" s="23" t="n"/>
      <c r="T120" s="23" t="n"/>
      <c r="U120" s="30" t="n"/>
      <c r="V120" s="30" t="n"/>
    </row>
    <row r="121" ht="15" customHeight="1" s="57">
      <c r="A121" s="23" t="n"/>
      <c r="B121" s="30" t="n"/>
      <c r="C121" s="30" t="n"/>
      <c r="D121" s="30" t="n"/>
      <c r="E121" s="30" t="n"/>
      <c r="F121" s="23" t="n"/>
      <c r="G121" s="23" t="n"/>
      <c r="H121" s="50" t="n"/>
      <c r="I121" s="46">
        <f>IFERROR(1-H121/G121,0)</f>
        <v/>
      </c>
      <c r="J121" s="23" t="n"/>
      <c r="K121" s="23" t="n"/>
      <c r="L121" s="50" t="n"/>
      <c r="M121" s="51">
        <f>IFERROR(G121*L121,0)</f>
        <v/>
      </c>
      <c r="N121" s="30" t="n"/>
      <c r="O121" s="23" t="n"/>
      <c r="P121" s="23" t="n"/>
      <c r="Q121" s="23" t="n"/>
      <c r="R121" s="23" t="n"/>
      <c r="S121" s="23" t="n"/>
      <c r="T121" s="23" t="n"/>
      <c r="U121" s="30" t="n"/>
      <c r="V121" s="30" t="n"/>
    </row>
    <row r="122" ht="15" customHeight="1" s="57">
      <c r="A122" s="23" t="n"/>
      <c r="B122" s="30" t="n"/>
      <c r="C122" s="30" t="n"/>
      <c r="D122" s="30" t="n"/>
      <c r="E122" s="30" t="n"/>
      <c r="F122" s="23" t="n"/>
      <c r="G122" s="23" t="n"/>
      <c r="H122" s="50" t="n"/>
      <c r="I122" s="46">
        <f>IFERROR(1-H122/G122,0)</f>
        <v/>
      </c>
      <c r="J122" s="23" t="n"/>
      <c r="K122" s="23" t="n"/>
      <c r="L122" s="50" t="n"/>
      <c r="M122" s="51">
        <f>IFERROR(G122*L122,0)</f>
        <v/>
      </c>
      <c r="N122" s="30" t="n"/>
      <c r="O122" s="23" t="n"/>
      <c r="P122" s="23" t="n"/>
      <c r="Q122" s="23" t="n"/>
      <c r="R122" s="23" t="n"/>
      <c r="S122" s="23" t="n"/>
      <c r="T122" s="23" t="n"/>
      <c r="U122" s="30" t="n"/>
      <c r="V122" s="30" t="n"/>
    </row>
    <row r="123" ht="15" customHeight="1" s="57">
      <c r="A123" s="23" t="n"/>
      <c r="B123" s="30" t="n"/>
      <c r="C123" s="30" t="n"/>
      <c r="D123" s="30" t="n"/>
      <c r="E123" s="30" t="n"/>
      <c r="F123" s="23" t="n"/>
      <c r="G123" s="23" t="n"/>
      <c r="H123" s="50" t="n"/>
      <c r="I123" s="46">
        <f>IFERROR(1-H123/G123,0)</f>
        <v/>
      </c>
      <c r="J123" s="23" t="n"/>
      <c r="K123" s="23" t="n"/>
      <c r="L123" s="50" t="n"/>
      <c r="M123" s="51">
        <f>IFERROR(G123*L123,0)</f>
        <v/>
      </c>
      <c r="N123" s="30" t="n"/>
      <c r="O123" s="23" t="n"/>
      <c r="P123" s="23" t="n"/>
      <c r="Q123" s="23" t="n"/>
      <c r="R123" s="23" t="n"/>
      <c r="S123" s="23" t="n"/>
      <c r="T123" s="23" t="n"/>
      <c r="U123" s="30" t="n"/>
      <c r="V123" s="30" t="n"/>
    </row>
    <row r="124" ht="15" customHeight="1" s="57">
      <c r="A124" s="23" t="n"/>
      <c r="B124" s="30" t="n"/>
      <c r="C124" s="30" t="n"/>
      <c r="D124" s="30" t="n"/>
      <c r="E124" s="30" t="n"/>
      <c r="F124" s="23" t="n"/>
      <c r="G124" s="23" t="n"/>
      <c r="H124" s="50" t="n"/>
      <c r="I124" s="46">
        <f>IFERROR(1-H124/G124,0)</f>
        <v/>
      </c>
      <c r="J124" s="23" t="n"/>
      <c r="K124" s="23" t="n"/>
      <c r="L124" s="50" t="n"/>
      <c r="M124" s="51">
        <f>IFERROR(G124*L124,0)</f>
        <v/>
      </c>
      <c r="N124" s="30" t="n"/>
      <c r="O124" s="23" t="n"/>
      <c r="P124" s="23" t="n"/>
      <c r="Q124" s="23" t="n"/>
      <c r="R124" s="23" t="n"/>
      <c r="S124" s="23" t="n"/>
      <c r="T124" s="23" t="n"/>
      <c r="U124" s="30" t="n"/>
      <c r="V124" s="30" t="n"/>
    </row>
    <row r="125" ht="15" customHeight="1" s="57">
      <c r="A125" s="23" t="n"/>
      <c r="B125" s="30" t="n"/>
      <c r="C125" s="30" t="n"/>
      <c r="D125" s="30" t="n"/>
      <c r="E125" s="30" t="n"/>
      <c r="F125" s="23" t="n"/>
      <c r="G125" s="23" t="n"/>
      <c r="H125" s="50" t="n"/>
      <c r="I125" s="46">
        <f>IFERROR(1-H125/G125,0)</f>
        <v/>
      </c>
      <c r="J125" s="23" t="n"/>
      <c r="K125" s="23" t="n"/>
      <c r="L125" s="50" t="n"/>
      <c r="M125" s="51">
        <f>IFERROR(G125*L125,0)</f>
        <v/>
      </c>
      <c r="N125" s="30" t="n"/>
      <c r="O125" s="23" t="n"/>
      <c r="P125" s="23" t="n"/>
      <c r="Q125" s="23" t="n"/>
      <c r="R125" s="23" t="n"/>
      <c r="S125" s="23" t="n"/>
      <c r="T125" s="23" t="n"/>
      <c r="U125" s="30" t="n"/>
      <c r="V125" s="30" t="n"/>
    </row>
    <row r="126" ht="15" customHeight="1" s="57">
      <c r="A126" s="23" t="n"/>
      <c r="B126" s="30" t="n"/>
      <c r="C126" s="30" t="n"/>
      <c r="D126" s="30" t="n"/>
      <c r="E126" s="30" t="n"/>
      <c r="F126" s="23" t="n"/>
      <c r="G126" s="23" t="n"/>
      <c r="H126" s="50" t="n"/>
      <c r="I126" s="46">
        <f>IFERROR(1-H126/G126,0)</f>
        <v/>
      </c>
      <c r="J126" s="23" t="n"/>
      <c r="K126" s="23" t="n"/>
      <c r="L126" s="50" t="n"/>
      <c r="M126" s="51">
        <f>IFERROR(G126*L126,0)</f>
        <v/>
      </c>
      <c r="N126" s="30" t="n"/>
      <c r="O126" s="23" t="n"/>
      <c r="P126" s="23" t="n"/>
      <c r="Q126" s="23" t="n"/>
      <c r="R126" s="23" t="n"/>
      <c r="S126" s="23" t="n"/>
      <c r="T126" s="23" t="n"/>
      <c r="U126" s="30" t="n"/>
      <c r="V126" s="30" t="n"/>
    </row>
    <row r="127" ht="15" customHeight="1" s="57">
      <c r="A127" s="23" t="n"/>
      <c r="B127" s="30" t="n"/>
      <c r="C127" s="30" t="n"/>
      <c r="D127" s="30" t="n"/>
      <c r="E127" s="30" t="n"/>
      <c r="F127" s="23" t="n"/>
      <c r="G127" s="23" t="n"/>
      <c r="H127" s="50" t="n"/>
      <c r="I127" s="46">
        <f>IFERROR(1-H127/G127,0)</f>
        <v/>
      </c>
      <c r="J127" s="23" t="n"/>
      <c r="K127" s="23" t="n"/>
      <c r="L127" s="50" t="n"/>
      <c r="M127" s="51">
        <f>IFERROR(G127*L127,0)</f>
        <v/>
      </c>
      <c r="N127" s="30" t="n"/>
      <c r="O127" s="23" t="n"/>
      <c r="P127" s="23" t="n"/>
      <c r="Q127" s="23" t="n"/>
      <c r="R127" s="23" t="n"/>
      <c r="S127" s="23" t="n"/>
      <c r="T127" s="23" t="n"/>
      <c r="U127" s="30" t="n"/>
      <c r="V127" s="30" t="n"/>
    </row>
    <row r="128" ht="15" customHeight="1" s="57">
      <c r="A128" s="23" t="n"/>
      <c r="B128" s="30" t="n"/>
      <c r="C128" s="30" t="n"/>
      <c r="D128" s="30" t="n"/>
      <c r="E128" s="30" t="n"/>
      <c r="F128" s="23" t="n"/>
      <c r="G128" s="23" t="n"/>
      <c r="H128" s="50" t="n"/>
      <c r="I128" s="46">
        <f>IFERROR(1-H128/G128,0)</f>
        <v/>
      </c>
      <c r="J128" s="23" t="n"/>
      <c r="K128" s="23" t="n"/>
      <c r="L128" s="50" t="n"/>
      <c r="M128" s="51">
        <f>IFERROR(G128*L128,0)</f>
        <v/>
      </c>
      <c r="N128" s="30" t="n"/>
      <c r="O128" s="23" t="n"/>
      <c r="P128" s="23" t="n"/>
      <c r="Q128" s="23" t="n"/>
      <c r="R128" s="23" t="n"/>
      <c r="S128" s="23" t="n"/>
      <c r="T128" s="23" t="n"/>
      <c r="U128" s="30" t="n"/>
      <c r="V128" s="30" t="n"/>
    </row>
    <row r="129" ht="15" customHeight="1" s="57">
      <c r="A129" s="23" t="n"/>
      <c r="B129" s="30" t="n"/>
      <c r="C129" s="30" t="n"/>
      <c r="D129" s="30" t="n"/>
      <c r="E129" s="30" t="n"/>
      <c r="F129" s="23" t="n"/>
      <c r="G129" s="23" t="n"/>
      <c r="H129" s="50" t="n"/>
      <c r="I129" s="46">
        <f>IFERROR(1-H129/G129,0)</f>
        <v/>
      </c>
      <c r="J129" s="23" t="n"/>
      <c r="K129" s="23" t="n"/>
      <c r="L129" s="50" t="n"/>
      <c r="M129" s="51">
        <f>IFERROR(G129*L129,0)</f>
        <v/>
      </c>
      <c r="N129" s="30" t="n"/>
      <c r="O129" s="23" t="n"/>
      <c r="P129" s="23" t="n"/>
      <c r="Q129" s="23" t="n"/>
      <c r="R129" s="23" t="n"/>
      <c r="S129" s="23" t="n"/>
      <c r="T129" s="23" t="n"/>
      <c r="U129" s="30" t="n"/>
      <c r="V129" s="30" t="n"/>
    </row>
    <row r="130" ht="15" customHeight="1" s="57">
      <c r="A130" s="23" t="n"/>
      <c r="B130" s="30" t="n"/>
      <c r="C130" s="30" t="n"/>
      <c r="D130" s="30" t="n"/>
      <c r="E130" s="30" t="n"/>
      <c r="F130" s="23" t="n"/>
      <c r="G130" s="23" t="n"/>
      <c r="H130" s="50" t="n"/>
      <c r="I130" s="46">
        <f>IFERROR(1-H130/G130,0)</f>
        <v/>
      </c>
      <c r="J130" s="23" t="n"/>
      <c r="K130" s="23" t="n"/>
      <c r="L130" s="50" t="n"/>
      <c r="M130" s="51">
        <f>IFERROR(G130*L130,0)</f>
        <v/>
      </c>
      <c r="N130" s="30" t="n"/>
      <c r="O130" s="23" t="n"/>
      <c r="P130" s="23" t="n"/>
      <c r="Q130" s="23" t="n"/>
      <c r="R130" s="23" t="n"/>
      <c r="S130" s="23" t="n"/>
      <c r="T130" s="23" t="n"/>
      <c r="U130" s="30" t="n"/>
      <c r="V130" s="30" t="n"/>
    </row>
    <row r="131" ht="15" customHeight="1" s="57">
      <c r="A131" s="23" t="n"/>
      <c r="B131" s="30" t="n"/>
      <c r="C131" s="30" t="n"/>
      <c r="D131" s="30" t="n"/>
      <c r="E131" s="30" t="n"/>
      <c r="F131" s="23" t="n"/>
      <c r="G131" s="23" t="n"/>
      <c r="H131" s="50" t="n"/>
      <c r="I131" s="46">
        <f>IFERROR(1-H131/G131,0)</f>
        <v/>
      </c>
      <c r="J131" s="23" t="n"/>
      <c r="K131" s="23" t="n"/>
      <c r="L131" s="50" t="n"/>
      <c r="M131" s="51">
        <f>IFERROR(G131*L131,0)</f>
        <v/>
      </c>
      <c r="N131" s="30" t="n"/>
      <c r="O131" s="23" t="n"/>
      <c r="P131" s="23" t="n"/>
      <c r="Q131" s="23" t="n"/>
      <c r="R131" s="23" t="n"/>
      <c r="S131" s="23" t="n"/>
      <c r="T131" s="23" t="n"/>
      <c r="U131" s="30" t="n"/>
      <c r="V131" s="30" t="n"/>
    </row>
    <row r="132" ht="15" customHeight="1" s="57">
      <c r="A132" s="23" t="n"/>
      <c r="B132" s="30" t="n"/>
      <c r="C132" s="30" t="n"/>
      <c r="D132" s="30" t="n"/>
      <c r="E132" s="30" t="n"/>
      <c r="F132" s="23" t="n"/>
      <c r="G132" s="23" t="n"/>
      <c r="H132" s="50" t="n"/>
      <c r="I132" s="46">
        <f>IFERROR(1-H132/G132,0)</f>
        <v/>
      </c>
      <c r="J132" s="23" t="n"/>
      <c r="K132" s="23" t="n"/>
      <c r="L132" s="50" t="n"/>
      <c r="M132" s="51">
        <f>IFERROR(G132*L132,0)</f>
        <v/>
      </c>
      <c r="N132" s="30" t="n"/>
      <c r="O132" s="23" t="n"/>
      <c r="P132" s="23" t="n"/>
      <c r="Q132" s="23" t="n"/>
      <c r="R132" s="23" t="n"/>
      <c r="S132" s="23" t="n"/>
      <c r="T132" s="23" t="n"/>
      <c r="U132" s="30" t="n"/>
      <c r="V132" s="30" t="n"/>
    </row>
    <row r="133" ht="15" customHeight="1" s="57">
      <c r="A133" s="23" t="n"/>
      <c r="B133" s="30" t="n"/>
      <c r="C133" s="30" t="n"/>
      <c r="D133" s="30" t="n"/>
      <c r="E133" s="30" t="n"/>
      <c r="F133" s="23" t="n"/>
      <c r="G133" s="23" t="n"/>
      <c r="H133" s="50" t="n"/>
      <c r="I133" s="46">
        <f>IFERROR(1-H133/G133,0)</f>
        <v/>
      </c>
      <c r="J133" s="23" t="n"/>
      <c r="K133" s="23" t="n"/>
      <c r="L133" s="50" t="n"/>
      <c r="M133" s="51">
        <f>IFERROR(G133*L133,0)</f>
        <v/>
      </c>
      <c r="N133" s="30" t="n"/>
      <c r="O133" s="23" t="n"/>
      <c r="P133" s="23" t="n"/>
      <c r="Q133" s="23" t="n"/>
      <c r="R133" s="23" t="n"/>
      <c r="S133" s="23" t="n"/>
      <c r="T133" s="23" t="n"/>
      <c r="U133" s="30" t="n"/>
      <c r="V133" s="30" t="n"/>
    </row>
    <row r="134" ht="15" customHeight="1" s="57">
      <c r="A134" s="23" t="n"/>
      <c r="B134" s="30" t="n"/>
      <c r="C134" s="30" t="n"/>
      <c r="D134" s="30" t="n"/>
      <c r="E134" s="30" t="n"/>
      <c r="F134" s="23" t="n"/>
      <c r="G134" s="23" t="n"/>
      <c r="H134" s="50" t="n"/>
      <c r="I134" s="46">
        <f>IFERROR(1-H134/G134,0)</f>
        <v/>
      </c>
      <c r="J134" s="23" t="n"/>
      <c r="K134" s="23" t="n"/>
      <c r="L134" s="50" t="n"/>
      <c r="M134" s="51">
        <f>IFERROR(G134*L134,0)</f>
        <v/>
      </c>
      <c r="N134" s="30" t="n"/>
      <c r="O134" s="23" t="n"/>
      <c r="P134" s="23" t="n"/>
      <c r="Q134" s="23" t="n"/>
      <c r="R134" s="23" t="n"/>
      <c r="S134" s="23" t="n"/>
      <c r="T134" s="23" t="n"/>
      <c r="U134" s="30" t="n"/>
      <c r="V134" s="30" t="n"/>
    </row>
    <row r="135" ht="15" customHeight="1" s="57">
      <c r="A135" s="23" t="n"/>
      <c r="B135" s="30" t="n"/>
      <c r="C135" s="30" t="n"/>
      <c r="D135" s="30" t="n"/>
      <c r="E135" s="30" t="n"/>
      <c r="F135" s="23" t="n"/>
      <c r="G135" s="23" t="n"/>
      <c r="H135" s="50" t="n"/>
      <c r="I135" s="46">
        <f>IFERROR(1-H135/G135,0)</f>
        <v/>
      </c>
      <c r="J135" s="23" t="n"/>
      <c r="K135" s="23" t="n"/>
      <c r="L135" s="50" t="n"/>
      <c r="M135" s="51">
        <f>IFERROR(G135*L135,0)</f>
        <v/>
      </c>
      <c r="N135" s="30" t="n"/>
      <c r="O135" s="23" t="n"/>
      <c r="P135" s="23" t="n"/>
      <c r="Q135" s="23" t="n"/>
      <c r="R135" s="23" t="n"/>
      <c r="S135" s="23" t="n"/>
      <c r="T135" s="23" t="n"/>
      <c r="U135" s="30" t="n"/>
      <c r="V135" s="30" t="n"/>
    </row>
    <row r="136" ht="15" customHeight="1" s="57">
      <c r="A136" s="23" t="n"/>
      <c r="B136" s="30" t="n"/>
      <c r="C136" s="30" t="n"/>
      <c r="D136" s="30" t="n"/>
      <c r="E136" s="30" t="n"/>
      <c r="F136" s="23" t="n"/>
      <c r="G136" s="23" t="n"/>
      <c r="H136" s="50" t="n"/>
      <c r="I136" s="46">
        <f>IFERROR(1-H136/G136,0)</f>
        <v/>
      </c>
      <c r="J136" s="23" t="n"/>
      <c r="K136" s="23" t="n"/>
      <c r="L136" s="50" t="n"/>
      <c r="M136" s="51">
        <f>IFERROR(G136*L136,0)</f>
        <v/>
      </c>
      <c r="N136" s="30" t="n"/>
      <c r="O136" s="23" t="n"/>
      <c r="P136" s="23" t="n"/>
      <c r="Q136" s="23" t="n"/>
      <c r="R136" s="23" t="n"/>
      <c r="S136" s="23" t="n"/>
      <c r="T136" s="23" t="n"/>
      <c r="U136" s="30" t="n"/>
      <c r="V136" s="30" t="n"/>
    </row>
    <row r="137" ht="15" customHeight="1" s="57">
      <c r="A137" s="23" t="n"/>
      <c r="B137" s="30" t="n"/>
      <c r="C137" s="30" t="n"/>
      <c r="D137" s="30" t="n"/>
      <c r="E137" s="30" t="n"/>
      <c r="F137" s="23" t="n"/>
      <c r="G137" s="23" t="n"/>
      <c r="H137" s="50" t="n"/>
      <c r="I137" s="46">
        <f>IFERROR(1-H137/G137,0)</f>
        <v/>
      </c>
      <c r="J137" s="23" t="n"/>
      <c r="K137" s="23" t="n"/>
      <c r="L137" s="50" t="n"/>
      <c r="M137" s="51">
        <f>IFERROR(G137*L137,0)</f>
        <v/>
      </c>
      <c r="N137" s="30" t="n"/>
      <c r="O137" s="23" t="n"/>
      <c r="P137" s="23" t="n"/>
      <c r="Q137" s="23" t="n"/>
      <c r="R137" s="23" t="n"/>
      <c r="S137" s="23" t="n"/>
      <c r="T137" s="23" t="n"/>
      <c r="U137" s="30" t="n"/>
      <c r="V137" s="30" t="n"/>
    </row>
    <row r="138" ht="15" customHeight="1" s="57">
      <c r="A138" s="23" t="n"/>
      <c r="B138" s="30" t="n"/>
      <c r="C138" s="30" t="n"/>
      <c r="D138" s="30" t="n"/>
      <c r="E138" s="30" t="n"/>
      <c r="F138" s="23" t="n"/>
      <c r="G138" s="23" t="n"/>
      <c r="H138" s="50" t="n"/>
      <c r="I138" s="46">
        <f>IFERROR(1-H138/G138,0)</f>
        <v/>
      </c>
      <c r="J138" s="23" t="n"/>
      <c r="K138" s="23" t="n"/>
      <c r="L138" s="50" t="n"/>
      <c r="M138" s="51">
        <f>IFERROR(G138*L138,0)</f>
        <v/>
      </c>
      <c r="N138" s="30" t="n"/>
      <c r="O138" s="23" t="n"/>
      <c r="P138" s="23" t="n"/>
      <c r="Q138" s="23" t="n"/>
      <c r="R138" s="23" t="n"/>
      <c r="S138" s="23" t="n"/>
      <c r="T138" s="23" t="n"/>
      <c r="U138" s="30" t="n"/>
      <c r="V138" s="30" t="n"/>
    </row>
    <row r="139" ht="15" customHeight="1" s="57">
      <c r="A139" s="23" t="n"/>
      <c r="B139" s="30" t="n"/>
      <c r="C139" s="30" t="n"/>
      <c r="D139" s="30" t="n"/>
      <c r="E139" s="30" t="n"/>
      <c r="F139" s="23" t="n"/>
      <c r="G139" s="23" t="n"/>
      <c r="H139" s="50" t="n"/>
      <c r="I139" s="46">
        <f>IFERROR(1-H139/G139,0)</f>
        <v/>
      </c>
      <c r="J139" s="23" t="n"/>
      <c r="K139" s="23" t="n"/>
      <c r="L139" s="50" t="n"/>
      <c r="M139" s="51">
        <f>IFERROR(G139*L139,0)</f>
        <v/>
      </c>
      <c r="N139" s="30" t="n"/>
      <c r="O139" s="23" t="n"/>
      <c r="P139" s="23" t="n"/>
      <c r="Q139" s="23" t="n"/>
      <c r="R139" s="23" t="n"/>
      <c r="S139" s="23" t="n"/>
      <c r="T139" s="23" t="n"/>
      <c r="U139" s="30" t="n"/>
      <c r="V139" s="30" t="n"/>
    </row>
    <row r="140" ht="15" customHeight="1" s="57">
      <c r="A140" s="23" t="n"/>
      <c r="B140" s="30" t="n"/>
      <c r="C140" s="30" t="n"/>
      <c r="D140" s="30" t="n"/>
      <c r="E140" s="30" t="n"/>
      <c r="F140" s="23" t="n"/>
      <c r="G140" s="23" t="n"/>
      <c r="H140" s="50" t="n"/>
      <c r="I140" s="46">
        <f>IFERROR(1-H140/G140,0)</f>
        <v/>
      </c>
      <c r="J140" s="23" t="n"/>
      <c r="K140" s="23" t="n"/>
      <c r="L140" s="50" t="n"/>
      <c r="M140" s="51">
        <f>IFERROR(G140*L140,0)</f>
        <v/>
      </c>
      <c r="N140" s="30" t="n"/>
      <c r="O140" s="23" t="n"/>
      <c r="P140" s="23" t="n"/>
      <c r="Q140" s="23" t="n"/>
      <c r="R140" s="23" t="n"/>
      <c r="S140" s="23" t="n"/>
      <c r="T140" s="23" t="n"/>
      <c r="U140" s="30" t="n"/>
      <c r="V140" s="30" t="n"/>
    </row>
    <row r="141" ht="15" customHeight="1" s="57">
      <c r="A141" s="23" t="n"/>
      <c r="B141" s="30" t="n"/>
      <c r="C141" s="30" t="n"/>
      <c r="D141" s="30" t="n"/>
      <c r="E141" s="30" t="n"/>
      <c r="F141" s="23" t="n"/>
      <c r="G141" s="23" t="n"/>
      <c r="H141" s="50" t="n"/>
      <c r="I141" s="46">
        <f>IFERROR(1-H141/G141,0)</f>
        <v/>
      </c>
      <c r="J141" s="23" t="n"/>
      <c r="K141" s="23" t="n"/>
      <c r="L141" s="50" t="n"/>
      <c r="M141" s="51">
        <f>IFERROR(G141*L141,0)</f>
        <v/>
      </c>
      <c r="N141" s="30" t="n"/>
      <c r="O141" s="23" t="n"/>
      <c r="P141" s="23" t="n"/>
      <c r="Q141" s="23" t="n"/>
      <c r="R141" s="23" t="n"/>
      <c r="S141" s="23" t="n"/>
      <c r="T141" s="23" t="n"/>
      <c r="U141" s="30" t="n"/>
      <c r="V141" s="30" t="n"/>
    </row>
    <row r="142" ht="15" customHeight="1" s="57">
      <c r="A142" s="23" t="n"/>
      <c r="B142" s="30" t="n"/>
      <c r="C142" s="30" t="n"/>
      <c r="D142" s="30" t="n"/>
      <c r="E142" s="30" t="n"/>
      <c r="F142" s="23" t="n"/>
      <c r="G142" s="23" t="n"/>
      <c r="H142" s="50" t="n"/>
      <c r="I142" s="46">
        <f>IFERROR(1-H142/G142,0)</f>
        <v/>
      </c>
      <c r="J142" s="23" t="n"/>
      <c r="K142" s="23" t="n"/>
      <c r="L142" s="50" t="n"/>
      <c r="M142" s="51">
        <f>IFERROR(G142*L142,0)</f>
        <v/>
      </c>
      <c r="N142" s="30" t="n"/>
      <c r="O142" s="23" t="n"/>
      <c r="P142" s="23" t="n"/>
      <c r="Q142" s="23" t="n"/>
      <c r="R142" s="23" t="n"/>
      <c r="S142" s="23" t="n"/>
      <c r="T142" s="23" t="n"/>
      <c r="U142" s="30" t="n"/>
      <c r="V142" s="30" t="n"/>
    </row>
    <row r="143" ht="15" customHeight="1" s="57">
      <c r="A143" s="23" t="n"/>
      <c r="B143" s="30" t="n"/>
      <c r="C143" s="30" t="n"/>
      <c r="D143" s="30" t="n"/>
      <c r="E143" s="30" t="n"/>
      <c r="F143" s="23" t="n"/>
      <c r="G143" s="23" t="n"/>
      <c r="H143" s="50" t="n"/>
      <c r="I143" s="46">
        <f>IFERROR(1-H143/G143,0)</f>
        <v/>
      </c>
      <c r="J143" s="23" t="n"/>
      <c r="K143" s="23" t="n"/>
      <c r="L143" s="50" t="n"/>
      <c r="M143" s="51">
        <f>IFERROR(G143*L143,0)</f>
        <v/>
      </c>
      <c r="N143" s="30" t="n"/>
      <c r="O143" s="23" t="n"/>
      <c r="P143" s="23" t="n"/>
      <c r="Q143" s="23" t="n"/>
      <c r="R143" s="23" t="n"/>
      <c r="S143" s="23" t="n"/>
      <c r="T143" s="23" t="n"/>
      <c r="U143" s="30" t="n"/>
      <c r="V143" s="30" t="n"/>
    </row>
    <row r="144" ht="15" customHeight="1" s="57">
      <c r="A144" s="23" t="n"/>
      <c r="B144" s="30" t="n"/>
      <c r="C144" s="30" t="n"/>
      <c r="D144" s="30" t="n"/>
      <c r="E144" s="30" t="n"/>
      <c r="F144" s="23" t="n"/>
      <c r="G144" s="23" t="n"/>
      <c r="H144" s="50" t="n"/>
      <c r="I144" s="46">
        <f>IFERROR(1-H144/G144,0)</f>
        <v/>
      </c>
      <c r="J144" s="23" t="n"/>
      <c r="K144" s="23" t="n"/>
      <c r="L144" s="50" t="n"/>
      <c r="M144" s="51">
        <f>IFERROR(G144*L144,0)</f>
        <v/>
      </c>
      <c r="N144" s="30" t="n"/>
      <c r="O144" s="23" t="n"/>
      <c r="P144" s="23" t="n"/>
      <c r="Q144" s="23" t="n"/>
      <c r="R144" s="23" t="n"/>
      <c r="S144" s="23" t="n"/>
      <c r="T144" s="23" t="n"/>
      <c r="U144" s="30" t="n"/>
      <c r="V144" s="30" t="n"/>
    </row>
    <row r="145" ht="15" customHeight="1" s="57">
      <c r="A145" s="23" t="n"/>
      <c r="B145" s="30" t="n"/>
      <c r="C145" s="30" t="n"/>
      <c r="D145" s="30" t="n"/>
      <c r="E145" s="30" t="n"/>
      <c r="F145" s="23" t="n"/>
      <c r="G145" s="23" t="n"/>
      <c r="H145" s="50" t="n"/>
      <c r="I145" s="46">
        <f>IFERROR(1-H145/G145,0)</f>
        <v/>
      </c>
      <c r="J145" s="23" t="n"/>
      <c r="K145" s="23" t="n"/>
      <c r="L145" s="50" t="n"/>
      <c r="M145" s="51">
        <f>IFERROR(G145*L145,0)</f>
        <v/>
      </c>
      <c r="N145" s="30" t="n"/>
      <c r="O145" s="23" t="n"/>
      <c r="P145" s="23" t="n"/>
      <c r="Q145" s="23" t="n"/>
      <c r="R145" s="23" t="n"/>
      <c r="S145" s="23" t="n"/>
      <c r="T145" s="23" t="n"/>
      <c r="U145" s="30" t="n"/>
      <c r="V145" s="30" t="n"/>
    </row>
    <row r="146" ht="15" customHeight="1" s="57">
      <c r="A146" s="23" t="n"/>
      <c r="B146" s="30" t="n"/>
      <c r="C146" s="30" t="n"/>
      <c r="D146" s="30" t="n"/>
      <c r="E146" s="30" t="n"/>
      <c r="F146" s="23" t="n"/>
      <c r="G146" s="23" t="n"/>
      <c r="H146" s="50" t="n"/>
      <c r="I146" s="46">
        <f>IFERROR(1-H146/G146,0)</f>
        <v/>
      </c>
      <c r="J146" s="23" t="n"/>
      <c r="K146" s="23" t="n"/>
      <c r="L146" s="50" t="n"/>
      <c r="M146" s="51">
        <f>IFERROR(G146*L146,0)</f>
        <v/>
      </c>
      <c r="N146" s="30" t="n"/>
      <c r="O146" s="23" t="n"/>
      <c r="P146" s="23" t="n"/>
      <c r="Q146" s="23" t="n"/>
      <c r="R146" s="23" t="n"/>
      <c r="S146" s="23" t="n"/>
      <c r="T146" s="23" t="n"/>
      <c r="U146" s="30" t="n"/>
      <c r="V146" s="30" t="n"/>
    </row>
    <row r="147" ht="15" customHeight="1" s="57">
      <c r="A147" s="23" t="n"/>
      <c r="B147" s="30" t="n"/>
      <c r="C147" s="30" t="n"/>
      <c r="D147" s="30" t="n"/>
      <c r="E147" s="30" t="n"/>
      <c r="F147" s="23" t="n"/>
      <c r="G147" s="23" t="n"/>
      <c r="H147" s="50" t="n"/>
      <c r="I147" s="46">
        <f>IFERROR(1-H147/G147,0)</f>
        <v/>
      </c>
      <c r="J147" s="23" t="n"/>
      <c r="K147" s="23" t="n"/>
      <c r="L147" s="50" t="n"/>
      <c r="M147" s="51">
        <f>IFERROR(G147*L147,0)</f>
        <v/>
      </c>
      <c r="N147" s="30" t="n"/>
      <c r="O147" s="23" t="n"/>
      <c r="P147" s="23" t="n"/>
      <c r="Q147" s="23" t="n"/>
      <c r="R147" s="23" t="n"/>
      <c r="S147" s="23" t="n"/>
      <c r="T147" s="23" t="n"/>
      <c r="U147" s="30" t="n"/>
      <c r="V147" s="30" t="n"/>
    </row>
    <row r="148" ht="15" customHeight="1" s="57">
      <c r="A148" s="23" t="n"/>
      <c r="B148" s="30" t="n"/>
      <c r="C148" s="30" t="n"/>
      <c r="D148" s="30" t="n"/>
      <c r="E148" s="30" t="n"/>
      <c r="F148" s="23" t="n"/>
      <c r="G148" s="23" t="n"/>
      <c r="H148" s="50" t="n"/>
      <c r="I148" s="46">
        <f>IFERROR(1-H148/G148,0)</f>
        <v/>
      </c>
      <c r="J148" s="23" t="n"/>
      <c r="K148" s="23" t="n"/>
      <c r="L148" s="50" t="n"/>
      <c r="M148" s="51">
        <f>IFERROR(G148*L148,0)</f>
        <v/>
      </c>
      <c r="N148" s="30" t="n"/>
      <c r="O148" s="23" t="n"/>
      <c r="P148" s="23" t="n"/>
      <c r="Q148" s="23" t="n"/>
      <c r="R148" s="23" t="n"/>
      <c r="S148" s="23" t="n"/>
      <c r="T148" s="23" t="n"/>
      <c r="U148" s="30" t="n"/>
      <c r="V148" s="30" t="n"/>
    </row>
    <row r="149" ht="15" customHeight="1" s="57">
      <c r="A149" s="23" t="n"/>
      <c r="B149" s="30" t="n"/>
      <c r="C149" s="30" t="n"/>
      <c r="D149" s="30" t="n"/>
      <c r="E149" s="30" t="n"/>
      <c r="F149" s="23" t="n"/>
      <c r="G149" s="23" t="n"/>
      <c r="H149" s="50" t="n"/>
      <c r="I149" s="46">
        <f>IFERROR(1-H149/G149,0)</f>
        <v/>
      </c>
      <c r="J149" s="23" t="n"/>
      <c r="K149" s="23" t="n"/>
      <c r="L149" s="50" t="n"/>
      <c r="M149" s="51">
        <f>IFERROR(G149*L149,0)</f>
        <v/>
      </c>
      <c r="N149" s="30" t="n"/>
      <c r="O149" s="23" t="n"/>
      <c r="P149" s="23" t="n"/>
      <c r="Q149" s="23" t="n"/>
      <c r="R149" s="23" t="n"/>
      <c r="S149" s="23" t="n"/>
      <c r="T149" s="23" t="n"/>
      <c r="U149" s="30" t="n"/>
      <c r="V149" s="30" t="n"/>
    </row>
    <row r="150" ht="15" customHeight="1" s="57">
      <c r="A150" s="23" t="n"/>
      <c r="B150" s="30" t="n"/>
      <c r="C150" s="30" t="n"/>
      <c r="D150" s="30" t="n"/>
      <c r="E150" s="30" t="n"/>
      <c r="F150" s="23" t="n"/>
      <c r="G150" s="23" t="n"/>
      <c r="H150" s="50" t="n"/>
      <c r="I150" s="46">
        <f>IFERROR(1-H150/G150,0)</f>
        <v/>
      </c>
      <c r="J150" s="23" t="n"/>
      <c r="K150" s="23" t="n"/>
      <c r="L150" s="50" t="n"/>
      <c r="M150" s="51">
        <f>IFERROR(G150*L150,0)</f>
        <v/>
      </c>
      <c r="N150" s="30" t="n"/>
      <c r="O150" s="23" t="n"/>
      <c r="P150" s="23" t="n"/>
      <c r="Q150" s="23" t="n"/>
      <c r="R150" s="23" t="n"/>
      <c r="S150" s="23" t="n"/>
      <c r="T150" s="23" t="n"/>
      <c r="U150" s="30" t="n"/>
      <c r="V150" s="30" t="n"/>
    </row>
    <row r="151" ht="15" customHeight="1" s="57">
      <c r="A151" s="23" t="n"/>
      <c r="B151" s="30" t="n"/>
      <c r="C151" s="30" t="n"/>
      <c r="D151" s="30" t="n"/>
      <c r="E151" s="30" t="n"/>
      <c r="F151" s="23" t="n"/>
      <c r="G151" s="23" t="n"/>
      <c r="H151" s="50" t="n"/>
      <c r="I151" s="46">
        <f>IFERROR(1-H151/G151,0)</f>
        <v/>
      </c>
      <c r="J151" s="23" t="n"/>
      <c r="K151" s="23" t="n"/>
      <c r="L151" s="50" t="n"/>
      <c r="M151" s="51">
        <f>IFERROR(G151*L151,0)</f>
        <v/>
      </c>
      <c r="N151" s="30" t="n"/>
      <c r="O151" s="23" t="n"/>
      <c r="P151" s="23" t="n"/>
      <c r="Q151" s="23" t="n"/>
      <c r="R151" s="23" t="n"/>
      <c r="S151" s="23" t="n"/>
      <c r="T151" s="23" t="n"/>
      <c r="U151" s="30" t="n"/>
      <c r="V151" s="30" t="n"/>
    </row>
    <row r="152" ht="15" customHeight="1" s="57">
      <c r="A152" s="23" t="n"/>
      <c r="B152" s="30" t="n"/>
      <c r="C152" s="30" t="n"/>
      <c r="D152" s="30" t="n"/>
      <c r="E152" s="30" t="n"/>
      <c r="F152" s="23" t="n"/>
      <c r="G152" s="23" t="n"/>
      <c r="H152" s="50" t="n"/>
      <c r="I152" s="46">
        <f>IFERROR(1-H152/G152,0)</f>
        <v/>
      </c>
      <c r="J152" s="23" t="n"/>
      <c r="K152" s="23" t="n"/>
      <c r="L152" s="50" t="n"/>
      <c r="M152" s="51">
        <f>IFERROR(G152*L152,0)</f>
        <v/>
      </c>
      <c r="N152" s="30" t="n"/>
      <c r="O152" s="23" t="n"/>
      <c r="P152" s="23" t="n"/>
      <c r="Q152" s="23" t="n"/>
      <c r="R152" s="23" t="n"/>
      <c r="S152" s="23" t="n"/>
      <c r="T152" s="23" t="n"/>
      <c r="U152" s="30" t="n"/>
      <c r="V152" s="30" t="n"/>
    </row>
    <row r="153" ht="15" customHeight="1" s="57">
      <c r="A153" s="23" t="n"/>
      <c r="B153" s="30" t="n"/>
      <c r="C153" s="30" t="n"/>
      <c r="D153" s="30" t="n"/>
      <c r="E153" s="30" t="n"/>
      <c r="F153" s="23" t="n"/>
      <c r="G153" s="23" t="n"/>
      <c r="H153" s="50" t="n"/>
      <c r="I153" s="46">
        <f>IFERROR(1-H153/G153,0)</f>
        <v/>
      </c>
      <c r="J153" s="23" t="n"/>
      <c r="K153" s="23" t="n"/>
      <c r="L153" s="50" t="n"/>
      <c r="M153" s="51">
        <f>IFERROR(G153*L153,0)</f>
        <v/>
      </c>
      <c r="N153" s="30" t="n"/>
      <c r="O153" s="23" t="n"/>
      <c r="P153" s="23" t="n"/>
      <c r="Q153" s="23" t="n"/>
      <c r="R153" s="23" t="n"/>
      <c r="S153" s="23" t="n"/>
      <c r="T153" s="23" t="n"/>
      <c r="U153" s="30" t="n"/>
      <c r="V153" s="30" t="n"/>
    </row>
    <row r="154" ht="15" customHeight="1" s="57">
      <c r="A154" s="23" t="n"/>
      <c r="B154" s="30" t="n"/>
      <c r="C154" s="30" t="n"/>
      <c r="D154" s="30" t="n"/>
      <c r="E154" s="30" t="n"/>
      <c r="F154" s="23" t="n"/>
      <c r="G154" s="23" t="n"/>
      <c r="H154" s="50" t="n"/>
      <c r="I154" s="46">
        <f>IFERROR(1-H154/G154,0)</f>
        <v/>
      </c>
      <c r="J154" s="23" t="n"/>
      <c r="K154" s="23" t="n"/>
      <c r="L154" s="50" t="n"/>
      <c r="M154" s="51">
        <f>IFERROR(G154*L154,0)</f>
        <v/>
      </c>
      <c r="N154" s="30" t="n"/>
      <c r="O154" s="23" t="n"/>
      <c r="P154" s="23" t="n"/>
      <c r="Q154" s="23" t="n"/>
      <c r="R154" s="23" t="n"/>
      <c r="S154" s="23" t="n"/>
      <c r="T154" s="23" t="n"/>
      <c r="U154" s="30" t="n"/>
      <c r="V154" s="30" t="n"/>
    </row>
    <row r="155" ht="15" customHeight="1" s="57">
      <c r="A155" s="23" t="n"/>
      <c r="B155" s="30" t="n"/>
      <c r="C155" s="30" t="n"/>
      <c r="D155" s="30" t="n"/>
      <c r="E155" s="30" t="n"/>
      <c r="F155" s="23" t="n"/>
      <c r="G155" s="23" t="n"/>
      <c r="H155" s="50" t="n"/>
      <c r="I155" s="46">
        <f>IFERROR(1-H155/G155,0)</f>
        <v/>
      </c>
      <c r="J155" s="23" t="n"/>
      <c r="K155" s="23" t="n"/>
      <c r="L155" s="50" t="n"/>
      <c r="M155" s="51">
        <f>IFERROR(G155*L155,0)</f>
        <v/>
      </c>
      <c r="N155" s="30" t="n"/>
      <c r="O155" s="23" t="n"/>
      <c r="P155" s="23" t="n"/>
      <c r="Q155" s="23" t="n"/>
      <c r="R155" s="23" t="n"/>
      <c r="S155" s="23" t="n"/>
      <c r="T155" s="23" t="n"/>
      <c r="U155" s="30" t="n"/>
      <c r="V155" s="30" t="n"/>
    </row>
    <row r="156" ht="15" customHeight="1" s="57">
      <c r="A156" s="23" t="n"/>
      <c r="B156" s="30" t="n"/>
      <c r="C156" s="30" t="n"/>
      <c r="D156" s="30" t="n"/>
      <c r="E156" s="30" t="n"/>
      <c r="F156" s="23" t="n"/>
      <c r="G156" s="23" t="n"/>
      <c r="H156" s="50" t="n"/>
      <c r="I156" s="46">
        <f>IFERROR(1-H156/G156,0)</f>
        <v/>
      </c>
      <c r="J156" s="23" t="n"/>
      <c r="K156" s="23" t="n"/>
      <c r="L156" s="50" t="n"/>
      <c r="M156" s="51">
        <f>IFERROR(G156*L156,0)</f>
        <v/>
      </c>
      <c r="N156" s="30" t="n"/>
      <c r="O156" s="23" t="n"/>
      <c r="P156" s="23" t="n"/>
      <c r="Q156" s="23" t="n"/>
      <c r="R156" s="23" t="n"/>
      <c r="S156" s="23" t="n"/>
      <c r="T156" s="23" t="n"/>
      <c r="U156" s="30" t="n"/>
      <c r="V156" s="30" t="n"/>
    </row>
    <row r="157" ht="15" customHeight="1" s="57">
      <c r="A157" s="23" t="n"/>
      <c r="B157" s="30" t="n"/>
      <c r="C157" s="30" t="n"/>
      <c r="D157" s="30" t="n"/>
      <c r="E157" s="30" t="n"/>
      <c r="F157" s="23" t="n"/>
      <c r="G157" s="23" t="n"/>
      <c r="H157" s="50" t="n"/>
      <c r="I157" s="46">
        <f>IFERROR(1-H157/G157,0)</f>
        <v/>
      </c>
      <c r="J157" s="23" t="n"/>
      <c r="K157" s="23" t="n"/>
      <c r="L157" s="50" t="n"/>
      <c r="M157" s="51">
        <f>IFERROR(G157*L157,0)</f>
        <v/>
      </c>
      <c r="N157" s="30" t="n"/>
      <c r="O157" s="23" t="n"/>
      <c r="P157" s="23" t="n"/>
      <c r="Q157" s="23" t="n"/>
      <c r="R157" s="23" t="n"/>
      <c r="S157" s="23" t="n"/>
      <c r="T157" s="23" t="n"/>
      <c r="U157" s="30" t="n"/>
      <c r="V157" s="30" t="n"/>
    </row>
    <row r="158" ht="15" customHeight="1" s="57">
      <c r="A158" s="23" t="n"/>
      <c r="B158" s="30" t="n"/>
      <c r="C158" s="30" t="n"/>
      <c r="D158" s="30" t="n"/>
      <c r="E158" s="30" t="n"/>
      <c r="F158" s="23" t="n"/>
      <c r="G158" s="23" t="n"/>
      <c r="H158" s="50" t="n"/>
      <c r="I158" s="46">
        <f>IFERROR(1-H158/G158,0)</f>
        <v/>
      </c>
      <c r="J158" s="23" t="n"/>
      <c r="K158" s="23" t="n"/>
      <c r="L158" s="50" t="n"/>
      <c r="M158" s="51">
        <f>IFERROR(G158*L158,0)</f>
        <v/>
      </c>
      <c r="N158" s="30" t="n"/>
      <c r="O158" s="23" t="n"/>
      <c r="P158" s="23" t="n"/>
      <c r="Q158" s="23" t="n"/>
      <c r="R158" s="23" t="n"/>
      <c r="S158" s="23" t="n"/>
      <c r="T158" s="23" t="n"/>
      <c r="U158" s="30" t="n"/>
      <c r="V158" s="30" t="n"/>
    </row>
    <row r="159" ht="15" customHeight="1" s="57">
      <c r="A159" s="23" t="n"/>
      <c r="B159" s="30" t="n"/>
      <c r="C159" s="30" t="n"/>
      <c r="D159" s="30" t="n"/>
      <c r="E159" s="30" t="n"/>
      <c r="F159" s="23" t="n"/>
      <c r="G159" s="23" t="n"/>
      <c r="H159" s="50" t="n"/>
      <c r="I159" s="46">
        <f>IFERROR(1-H159/G159,0)</f>
        <v/>
      </c>
      <c r="J159" s="23" t="n"/>
      <c r="K159" s="23" t="n"/>
      <c r="L159" s="50" t="n"/>
      <c r="M159" s="51">
        <f>IFERROR(G159*L159,0)</f>
        <v/>
      </c>
      <c r="N159" s="30" t="n"/>
      <c r="O159" s="23" t="n"/>
      <c r="P159" s="23" t="n"/>
      <c r="Q159" s="23" t="n"/>
      <c r="R159" s="23" t="n"/>
      <c r="S159" s="23" t="n"/>
      <c r="T159" s="23" t="n"/>
      <c r="U159" s="30" t="n"/>
      <c r="V159" s="30" t="n"/>
    </row>
    <row r="160" ht="15" customHeight="1" s="57">
      <c r="A160" s="23" t="n"/>
      <c r="B160" s="30" t="n"/>
      <c r="C160" s="30" t="n"/>
      <c r="D160" s="30" t="n"/>
      <c r="E160" s="30" t="n"/>
      <c r="F160" s="23" t="n"/>
      <c r="G160" s="23" t="n"/>
      <c r="H160" s="50" t="n"/>
      <c r="I160" s="46">
        <f>IFERROR(1-H160/G160,0)</f>
        <v/>
      </c>
      <c r="J160" s="23" t="n"/>
      <c r="K160" s="23" t="n"/>
      <c r="L160" s="50" t="n"/>
      <c r="M160" s="51">
        <f>IFERROR(G160*L160,0)</f>
        <v/>
      </c>
      <c r="N160" s="30" t="n"/>
      <c r="O160" s="23" t="n"/>
      <c r="P160" s="23" t="n"/>
      <c r="Q160" s="23" t="n"/>
      <c r="R160" s="23" t="n"/>
      <c r="S160" s="23" t="n"/>
      <c r="T160" s="23" t="n"/>
      <c r="U160" s="30" t="n"/>
      <c r="V160" s="30" t="n"/>
    </row>
    <row r="161" ht="15" customHeight="1" s="57">
      <c r="A161" s="23" t="n"/>
      <c r="B161" s="30" t="n"/>
      <c r="C161" s="30" t="n"/>
      <c r="D161" s="30" t="n"/>
      <c r="E161" s="30" t="n"/>
      <c r="F161" s="23" t="n"/>
      <c r="G161" s="23" t="n"/>
      <c r="H161" s="50" t="n"/>
      <c r="I161" s="46">
        <f>IFERROR(1-H161/G161,0)</f>
        <v/>
      </c>
      <c r="J161" s="23" t="n"/>
      <c r="K161" s="23" t="n"/>
      <c r="L161" s="50" t="n"/>
      <c r="M161" s="51">
        <f>IFERROR(G161*L161,0)</f>
        <v/>
      </c>
      <c r="N161" s="30" t="n"/>
      <c r="O161" s="23" t="n"/>
      <c r="P161" s="23" t="n"/>
      <c r="Q161" s="23" t="n"/>
      <c r="R161" s="23" t="n"/>
      <c r="S161" s="23" t="n"/>
      <c r="T161" s="23" t="n"/>
      <c r="U161" s="30" t="n"/>
      <c r="V161" s="30" t="n"/>
    </row>
    <row r="162" ht="15" customHeight="1" s="57">
      <c r="A162" s="23" t="n"/>
      <c r="B162" s="30" t="n"/>
      <c r="C162" s="30" t="n"/>
      <c r="D162" s="30" t="n"/>
      <c r="E162" s="30" t="n"/>
      <c r="F162" s="23" t="n"/>
      <c r="G162" s="23" t="n"/>
      <c r="H162" s="50" t="n"/>
      <c r="I162" s="46">
        <f>IFERROR(1-H162/G162,0)</f>
        <v/>
      </c>
      <c r="J162" s="23" t="n"/>
      <c r="K162" s="23" t="n"/>
      <c r="L162" s="50" t="n"/>
      <c r="M162" s="51">
        <f>IFERROR(G162*L162,0)</f>
        <v/>
      </c>
      <c r="N162" s="30" t="n"/>
      <c r="O162" s="23" t="n"/>
      <c r="P162" s="23" t="n"/>
      <c r="Q162" s="23" t="n"/>
      <c r="R162" s="23" t="n"/>
      <c r="S162" s="23" t="n"/>
      <c r="T162" s="23" t="n"/>
      <c r="U162" s="30" t="n"/>
      <c r="V162" s="30" t="n"/>
    </row>
    <row r="163" ht="15" customHeight="1" s="57">
      <c r="A163" s="23" t="n"/>
      <c r="B163" s="30" t="n"/>
      <c r="C163" s="30" t="n"/>
      <c r="D163" s="30" t="n"/>
      <c r="E163" s="30" t="n"/>
      <c r="F163" s="23" t="n"/>
      <c r="G163" s="23" t="n"/>
      <c r="H163" s="50" t="n"/>
      <c r="I163" s="46">
        <f>IFERROR(1-H163/G163,0)</f>
        <v/>
      </c>
      <c r="J163" s="23" t="n"/>
      <c r="K163" s="23" t="n"/>
      <c r="L163" s="50" t="n"/>
      <c r="M163" s="51">
        <f>IFERROR(G163*L163,0)</f>
        <v/>
      </c>
      <c r="N163" s="30" t="n"/>
      <c r="O163" s="23" t="n"/>
      <c r="P163" s="23" t="n"/>
      <c r="Q163" s="23" t="n"/>
      <c r="R163" s="23" t="n"/>
      <c r="S163" s="23" t="n"/>
      <c r="T163" s="23" t="n"/>
      <c r="U163" s="30" t="n"/>
      <c r="V163" s="30" t="n"/>
    </row>
    <row r="164" ht="15" customHeight="1" s="57">
      <c r="A164" s="23" t="n"/>
      <c r="B164" s="30" t="n"/>
      <c r="C164" s="30" t="n"/>
      <c r="D164" s="30" t="n"/>
      <c r="E164" s="30" t="n"/>
      <c r="F164" s="23" t="n"/>
      <c r="G164" s="23" t="n"/>
      <c r="H164" s="50" t="n"/>
      <c r="I164" s="46">
        <f>IFERROR(1-H164/G164,0)</f>
        <v/>
      </c>
      <c r="J164" s="23" t="n"/>
      <c r="K164" s="23" t="n"/>
      <c r="L164" s="50" t="n"/>
      <c r="M164" s="51">
        <f>IFERROR(G164*L164,0)</f>
        <v/>
      </c>
      <c r="N164" s="30" t="n"/>
      <c r="O164" s="23" t="n"/>
      <c r="P164" s="23" t="n"/>
      <c r="Q164" s="23" t="n"/>
      <c r="R164" s="23" t="n"/>
      <c r="S164" s="23" t="n"/>
      <c r="T164" s="23" t="n"/>
      <c r="U164" s="30" t="n"/>
      <c r="V164" s="30" t="n"/>
    </row>
    <row r="165" ht="15" customHeight="1" s="57">
      <c r="A165" s="23" t="n"/>
      <c r="B165" s="30" t="n"/>
      <c r="C165" s="30" t="n"/>
      <c r="D165" s="30" t="n"/>
      <c r="E165" s="30" t="n"/>
      <c r="F165" s="23" t="n"/>
      <c r="G165" s="23" t="n"/>
      <c r="H165" s="50" t="n"/>
      <c r="I165" s="46">
        <f>IFERROR(1-H165/G165,0)</f>
        <v/>
      </c>
      <c r="J165" s="23" t="n"/>
      <c r="K165" s="23" t="n"/>
      <c r="L165" s="50" t="n"/>
      <c r="M165" s="51">
        <f>IFERROR(G165*L165,0)</f>
        <v/>
      </c>
      <c r="N165" s="30" t="n"/>
      <c r="O165" s="23" t="n"/>
      <c r="P165" s="23" t="n"/>
      <c r="Q165" s="23" t="n"/>
      <c r="R165" s="23" t="n"/>
      <c r="S165" s="23" t="n"/>
      <c r="T165" s="23" t="n"/>
      <c r="U165" s="30" t="n"/>
      <c r="V165" s="30" t="n"/>
    </row>
    <row r="166" ht="15" customHeight="1" s="57">
      <c r="A166" s="23" t="n"/>
      <c r="B166" s="30" t="n"/>
      <c r="C166" s="30" t="n"/>
      <c r="D166" s="30" t="n"/>
      <c r="E166" s="30" t="n"/>
      <c r="F166" s="23" t="n"/>
      <c r="G166" s="23" t="n"/>
      <c r="H166" s="50" t="n"/>
      <c r="I166" s="46">
        <f>IFERROR(1-H166/G166,0)</f>
        <v/>
      </c>
      <c r="J166" s="23" t="n"/>
      <c r="K166" s="23" t="n"/>
      <c r="L166" s="50" t="n"/>
      <c r="M166" s="51">
        <f>IFERROR(G166*L166,0)</f>
        <v/>
      </c>
      <c r="N166" s="30" t="n"/>
      <c r="O166" s="23" t="n"/>
      <c r="P166" s="23" t="n"/>
      <c r="Q166" s="23" t="n"/>
      <c r="R166" s="23" t="n"/>
      <c r="S166" s="23" t="n"/>
      <c r="T166" s="23" t="n"/>
      <c r="U166" s="30" t="n"/>
      <c r="V166" s="30" t="n"/>
    </row>
    <row r="167" ht="15" customHeight="1" s="57">
      <c r="A167" s="23" t="n"/>
      <c r="B167" s="30" t="n"/>
      <c r="C167" s="30" t="n"/>
      <c r="D167" s="30" t="n"/>
      <c r="E167" s="30" t="n"/>
      <c r="F167" s="23" t="n"/>
      <c r="G167" s="23" t="n"/>
      <c r="H167" s="50" t="n"/>
      <c r="I167" s="46">
        <f>IFERROR(1-H167/G167,0)</f>
        <v/>
      </c>
      <c r="J167" s="23" t="n"/>
      <c r="K167" s="23" t="n"/>
      <c r="L167" s="50" t="n"/>
      <c r="M167" s="51">
        <f>IFERROR(G167*L167,0)</f>
        <v/>
      </c>
      <c r="N167" s="30" t="n"/>
      <c r="O167" s="23" t="n"/>
      <c r="P167" s="23" t="n"/>
      <c r="Q167" s="23" t="n"/>
      <c r="R167" s="23" t="n"/>
      <c r="S167" s="23" t="n"/>
      <c r="T167" s="23" t="n"/>
      <c r="U167" s="30" t="n"/>
      <c r="V167" s="30" t="n"/>
    </row>
    <row r="168" ht="15" customHeight="1" s="57">
      <c r="A168" s="23" t="n"/>
      <c r="B168" s="30" t="n"/>
      <c r="C168" s="30" t="n"/>
      <c r="D168" s="30" t="n"/>
      <c r="E168" s="30" t="n"/>
      <c r="F168" s="23" t="n"/>
      <c r="G168" s="23" t="n"/>
      <c r="H168" s="50" t="n"/>
      <c r="I168" s="46">
        <f>IFERROR(1-H168/G168,0)</f>
        <v/>
      </c>
      <c r="J168" s="23" t="n"/>
      <c r="K168" s="23" t="n"/>
      <c r="L168" s="50" t="n"/>
      <c r="M168" s="51">
        <f>IFERROR(G168*L168,0)</f>
        <v/>
      </c>
      <c r="N168" s="30" t="n"/>
      <c r="O168" s="23" t="n"/>
      <c r="P168" s="23" t="n"/>
      <c r="Q168" s="23" t="n"/>
      <c r="R168" s="23" t="n"/>
      <c r="S168" s="23" t="n"/>
      <c r="T168" s="23" t="n"/>
      <c r="U168" s="30" t="n"/>
      <c r="V168" s="30" t="n"/>
    </row>
    <row r="169" ht="15" customHeight="1" s="57">
      <c r="A169" s="23" t="n"/>
      <c r="B169" s="30" t="n"/>
      <c r="C169" s="30" t="n"/>
      <c r="D169" s="30" t="n"/>
      <c r="E169" s="30" t="n"/>
      <c r="F169" s="23" t="n"/>
      <c r="G169" s="23" t="n"/>
      <c r="H169" s="50" t="n"/>
      <c r="I169" s="46">
        <f>IFERROR(1-H169/G169,0)</f>
        <v/>
      </c>
      <c r="J169" s="23" t="n"/>
      <c r="K169" s="23" t="n"/>
      <c r="L169" s="50" t="n"/>
      <c r="M169" s="51">
        <f>IFERROR(G169*L169,0)</f>
        <v/>
      </c>
      <c r="N169" s="30" t="n"/>
      <c r="O169" s="23" t="n"/>
      <c r="P169" s="23" t="n"/>
      <c r="Q169" s="23" t="n"/>
      <c r="R169" s="23" t="n"/>
      <c r="S169" s="23" t="n"/>
      <c r="T169" s="23" t="n"/>
      <c r="U169" s="30" t="n"/>
      <c r="V169" s="30" t="n"/>
    </row>
    <row r="170" ht="15" customHeight="1" s="57">
      <c r="A170" s="23" t="n"/>
      <c r="B170" s="30" t="n"/>
      <c r="C170" s="30" t="n"/>
      <c r="D170" s="30" t="n"/>
      <c r="E170" s="30" t="n"/>
      <c r="F170" s="23" t="n"/>
      <c r="G170" s="23" t="n"/>
      <c r="H170" s="50" t="n"/>
      <c r="I170" s="46">
        <f>IFERROR(1-H170/G170,0)</f>
        <v/>
      </c>
      <c r="J170" s="23" t="n"/>
      <c r="K170" s="23" t="n"/>
      <c r="L170" s="50" t="n"/>
      <c r="M170" s="51">
        <f>IFERROR(G170*L170,0)</f>
        <v/>
      </c>
      <c r="N170" s="30" t="n"/>
      <c r="O170" s="23" t="n"/>
      <c r="P170" s="23" t="n"/>
      <c r="Q170" s="23" t="n"/>
      <c r="R170" s="23" t="n"/>
      <c r="S170" s="23" t="n"/>
      <c r="T170" s="23" t="n"/>
      <c r="U170" s="30" t="n"/>
      <c r="V170" s="30" t="n"/>
    </row>
    <row r="171" ht="15" customHeight="1" s="57">
      <c r="A171" s="23" t="n"/>
      <c r="B171" s="30" t="n"/>
      <c r="C171" s="30" t="n"/>
      <c r="D171" s="30" t="n"/>
      <c r="E171" s="30" t="n"/>
      <c r="F171" s="23" t="n"/>
      <c r="G171" s="23" t="n"/>
      <c r="H171" s="50" t="n"/>
      <c r="I171" s="46">
        <f>IFERROR(1-H171/G171,0)</f>
        <v/>
      </c>
      <c r="J171" s="23" t="n"/>
      <c r="K171" s="23" t="n"/>
      <c r="L171" s="50" t="n"/>
      <c r="M171" s="51">
        <f>IFERROR(G171*L171,0)</f>
        <v/>
      </c>
      <c r="N171" s="30" t="n"/>
      <c r="O171" s="23" t="n"/>
      <c r="P171" s="23" t="n"/>
      <c r="Q171" s="23" t="n"/>
      <c r="R171" s="23" t="n"/>
      <c r="S171" s="23" t="n"/>
      <c r="T171" s="23" t="n"/>
      <c r="U171" s="30" t="n"/>
      <c r="V171" s="30" t="n"/>
    </row>
    <row r="172" ht="15" customHeight="1" s="57">
      <c r="A172" s="23" t="n"/>
      <c r="B172" s="30" t="n"/>
      <c r="C172" s="30" t="n"/>
      <c r="D172" s="30" t="n"/>
      <c r="E172" s="30" t="n"/>
      <c r="F172" s="23" t="n"/>
      <c r="G172" s="23" t="n"/>
      <c r="H172" s="50" t="n"/>
      <c r="I172" s="46">
        <f>IFERROR(1-H172/G172,0)</f>
        <v/>
      </c>
      <c r="J172" s="23" t="n"/>
      <c r="K172" s="23" t="n"/>
      <c r="L172" s="50" t="n"/>
      <c r="M172" s="51">
        <f>IFERROR(G172*L172,0)</f>
        <v/>
      </c>
      <c r="N172" s="30" t="n"/>
      <c r="O172" s="23" t="n"/>
      <c r="P172" s="23" t="n"/>
      <c r="Q172" s="23" t="n"/>
      <c r="R172" s="23" t="n"/>
      <c r="S172" s="23" t="n"/>
      <c r="T172" s="23" t="n"/>
      <c r="U172" s="30" t="n"/>
      <c r="V172" s="30" t="n"/>
    </row>
    <row r="173" ht="15" customHeight="1" s="57">
      <c r="A173" s="23" t="n"/>
      <c r="B173" s="30" t="n"/>
      <c r="C173" s="30" t="n"/>
      <c r="D173" s="30" t="n"/>
      <c r="E173" s="30" t="n"/>
      <c r="F173" s="23" t="n"/>
      <c r="G173" s="23" t="n"/>
      <c r="H173" s="50" t="n"/>
      <c r="I173" s="46">
        <f>IFERROR(1-H173/G173,0)</f>
        <v/>
      </c>
      <c r="J173" s="23" t="n"/>
      <c r="K173" s="23" t="n"/>
      <c r="L173" s="50" t="n"/>
      <c r="M173" s="51">
        <f>IFERROR(G173*L173,0)</f>
        <v/>
      </c>
      <c r="N173" s="30" t="n"/>
      <c r="O173" s="23" t="n"/>
      <c r="P173" s="23" t="n"/>
      <c r="Q173" s="23" t="n"/>
      <c r="R173" s="23" t="n"/>
      <c r="S173" s="23" t="n"/>
      <c r="T173" s="23" t="n"/>
      <c r="U173" s="30" t="n"/>
      <c r="V173" s="30" t="n"/>
    </row>
    <row r="174" ht="15" customHeight="1" s="57">
      <c r="A174" s="23" t="n"/>
      <c r="B174" s="30" t="n"/>
      <c r="C174" s="30" t="n"/>
      <c r="D174" s="30" t="n"/>
      <c r="E174" s="30" t="n"/>
      <c r="F174" s="23" t="n"/>
      <c r="G174" s="23" t="n"/>
      <c r="H174" s="50" t="n"/>
      <c r="I174" s="46">
        <f>IFERROR(1-H174/G174,0)</f>
        <v/>
      </c>
      <c r="J174" s="23" t="n"/>
      <c r="K174" s="23" t="n"/>
      <c r="L174" s="50" t="n"/>
      <c r="M174" s="51">
        <f>IFERROR(G174*L174,0)</f>
        <v/>
      </c>
      <c r="N174" s="30" t="n"/>
      <c r="O174" s="23" t="n"/>
      <c r="P174" s="23" t="n"/>
      <c r="Q174" s="23" t="n"/>
      <c r="R174" s="23" t="n"/>
      <c r="S174" s="23" t="n"/>
      <c r="T174" s="23" t="n"/>
      <c r="U174" s="30" t="n"/>
      <c r="V174" s="30" t="n"/>
    </row>
    <row r="175" ht="15" customHeight="1" s="57">
      <c r="A175" s="23" t="n"/>
      <c r="B175" s="30" t="n"/>
      <c r="C175" s="30" t="n"/>
      <c r="D175" s="30" t="n"/>
      <c r="E175" s="30" t="n"/>
      <c r="F175" s="23" t="n"/>
      <c r="G175" s="23" t="n"/>
      <c r="H175" s="50" t="n"/>
      <c r="I175" s="46">
        <f>IFERROR(1-H175/G175,0)</f>
        <v/>
      </c>
      <c r="J175" s="23" t="n"/>
      <c r="K175" s="23" t="n"/>
      <c r="L175" s="50" t="n"/>
      <c r="M175" s="51">
        <f>IFERROR(G175*L175,0)</f>
        <v/>
      </c>
      <c r="N175" s="30" t="n"/>
      <c r="O175" s="23" t="n"/>
      <c r="P175" s="23" t="n"/>
      <c r="Q175" s="23" t="n"/>
      <c r="R175" s="23" t="n"/>
      <c r="S175" s="23" t="n"/>
      <c r="T175" s="23" t="n"/>
      <c r="U175" s="30" t="n"/>
      <c r="V175" s="30" t="n"/>
    </row>
    <row r="176" ht="15" customHeight="1" s="57">
      <c r="A176" s="23" t="n"/>
      <c r="B176" s="30" t="n"/>
      <c r="C176" s="30" t="n"/>
      <c r="D176" s="30" t="n"/>
      <c r="E176" s="30" t="n"/>
      <c r="F176" s="23" t="n"/>
      <c r="G176" s="23" t="n"/>
      <c r="H176" s="50" t="n"/>
      <c r="I176" s="46">
        <f>IFERROR(1-H176/G176,0)</f>
        <v/>
      </c>
      <c r="J176" s="23" t="n"/>
      <c r="K176" s="23" t="n"/>
      <c r="L176" s="50" t="n"/>
      <c r="M176" s="51">
        <f>IFERROR(G176*L176,0)</f>
        <v/>
      </c>
      <c r="N176" s="30" t="n"/>
      <c r="O176" s="23" t="n"/>
      <c r="P176" s="23" t="n"/>
      <c r="Q176" s="23" t="n"/>
      <c r="R176" s="23" t="n"/>
      <c r="S176" s="23" t="n"/>
      <c r="T176" s="23" t="n"/>
      <c r="U176" s="30" t="n"/>
      <c r="V176" s="30" t="n"/>
    </row>
    <row r="177" ht="15" customHeight="1" s="57">
      <c r="A177" s="23" t="n"/>
      <c r="B177" s="30" t="n"/>
      <c r="C177" s="30" t="n"/>
      <c r="D177" s="30" t="n"/>
      <c r="E177" s="30" t="n"/>
      <c r="F177" s="23" t="n"/>
      <c r="G177" s="23" t="n"/>
      <c r="H177" s="50" t="n"/>
      <c r="I177" s="46">
        <f>IFERROR(1-H177/G177,0)</f>
        <v/>
      </c>
      <c r="J177" s="23" t="n"/>
      <c r="K177" s="23" t="n"/>
      <c r="L177" s="50" t="n"/>
      <c r="M177" s="51">
        <f>IFERROR(G177*L177,0)</f>
        <v/>
      </c>
      <c r="N177" s="30" t="n"/>
      <c r="O177" s="23" t="n"/>
      <c r="P177" s="23" t="n"/>
      <c r="Q177" s="23" t="n"/>
      <c r="R177" s="23" t="n"/>
      <c r="S177" s="23" t="n"/>
      <c r="T177" s="23" t="n"/>
      <c r="U177" s="30" t="n"/>
      <c r="V177" s="30" t="n"/>
    </row>
    <row r="178" ht="15" customHeight="1" s="57">
      <c r="A178" s="23" t="n"/>
      <c r="B178" s="30" t="n"/>
      <c r="C178" s="30" t="n"/>
      <c r="D178" s="30" t="n"/>
      <c r="E178" s="30" t="n"/>
      <c r="F178" s="23" t="n"/>
      <c r="G178" s="23" t="n"/>
      <c r="H178" s="50" t="n"/>
      <c r="I178" s="46">
        <f>IFERROR(1-H178/G178,0)</f>
        <v/>
      </c>
      <c r="J178" s="23" t="n"/>
      <c r="K178" s="23" t="n"/>
      <c r="L178" s="50" t="n"/>
      <c r="M178" s="51">
        <f>IFERROR(G178*L178,0)</f>
        <v/>
      </c>
      <c r="N178" s="30" t="n"/>
      <c r="O178" s="23" t="n"/>
      <c r="P178" s="23" t="n"/>
      <c r="Q178" s="23" t="n"/>
      <c r="R178" s="23" t="n"/>
      <c r="S178" s="23" t="n"/>
      <c r="T178" s="23" t="n"/>
      <c r="U178" s="30" t="n"/>
      <c r="V178" s="30" t="n"/>
    </row>
    <row r="179" ht="15" customHeight="1" s="57">
      <c r="A179" s="23" t="n"/>
      <c r="B179" s="30" t="n"/>
      <c r="C179" s="30" t="n"/>
      <c r="D179" s="30" t="n"/>
      <c r="E179" s="30" t="n"/>
      <c r="F179" s="23" t="n"/>
      <c r="G179" s="23" t="n"/>
      <c r="H179" s="50" t="n"/>
      <c r="I179" s="46">
        <f>IFERROR(1-H179/G179,0)</f>
        <v/>
      </c>
      <c r="J179" s="23" t="n"/>
      <c r="K179" s="23" t="n"/>
      <c r="L179" s="50" t="n"/>
      <c r="M179" s="51">
        <f>IFERROR(G179*L179,0)</f>
        <v/>
      </c>
      <c r="N179" s="30" t="n"/>
      <c r="O179" s="23" t="n"/>
      <c r="P179" s="23" t="n"/>
      <c r="Q179" s="23" t="n"/>
      <c r="R179" s="23" t="n"/>
      <c r="S179" s="23" t="n"/>
      <c r="T179" s="23" t="n"/>
      <c r="U179" s="30" t="n"/>
      <c r="V179" s="30" t="n"/>
    </row>
    <row r="180" ht="15" customHeight="1" s="57">
      <c r="A180" s="23" t="n"/>
      <c r="B180" s="30" t="n"/>
      <c r="C180" s="30" t="n"/>
      <c r="D180" s="30" t="n"/>
      <c r="E180" s="30" t="n"/>
      <c r="F180" s="23" t="n"/>
      <c r="G180" s="23" t="n"/>
      <c r="H180" s="50" t="n"/>
      <c r="I180" s="46">
        <f>IFERROR(1-H180/G180,0)</f>
        <v/>
      </c>
      <c r="J180" s="23" t="n"/>
      <c r="K180" s="23" t="n"/>
      <c r="L180" s="50" t="n"/>
      <c r="M180" s="51">
        <f>IFERROR(G180*L180,0)</f>
        <v/>
      </c>
      <c r="N180" s="30" t="n"/>
      <c r="O180" s="23" t="n"/>
      <c r="P180" s="23" t="n"/>
      <c r="Q180" s="23" t="n"/>
      <c r="R180" s="23" t="n"/>
      <c r="S180" s="23" t="n"/>
      <c r="T180" s="23" t="n"/>
      <c r="U180" s="30" t="n"/>
      <c r="V180" s="30" t="n"/>
    </row>
    <row r="181" ht="15" customHeight="1" s="57">
      <c r="A181" s="23" t="n"/>
      <c r="B181" s="30" t="n"/>
      <c r="C181" s="30" t="n"/>
      <c r="D181" s="30" t="n"/>
      <c r="E181" s="30" t="n"/>
      <c r="F181" s="23" t="n"/>
      <c r="G181" s="23" t="n"/>
      <c r="H181" s="50" t="n"/>
      <c r="I181" s="46">
        <f>IFERROR(1-H181/G181,0)</f>
        <v/>
      </c>
      <c r="J181" s="23" t="n"/>
      <c r="K181" s="23" t="n"/>
      <c r="L181" s="50" t="n"/>
      <c r="M181" s="51">
        <f>IFERROR(G181*L181,0)</f>
        <v/>
      </c>
      <c r="N181" s="30" t="n"/>
      <c r="O181" s="23" t="n"/>
      <c r="P181" s="23" t="n"/>
      <c r="Q181" s="23" t="n"/>
      <c r="R181" s="23" t="n"/>
      <c r="S181" s="23" t="n"/>
      <c r="T181" s="23" t="n"/>
      <c r="U181" s="30" t="n"/>
      <c r="V181" s="30" t="n"/>
    </row>
    <row r="182" ht="15" customHeight="1" s="57">
      <c r="A182" s="23" t="n"/>
      <c r="B182" s="30" t="n"/>
      <c r="C182" s="30" t="n"/>
      <c r="D182" s="30" t="n"/>
      <c r="E182" s="30" t="n"/>
      <c r="F182" s="23" t="n"/>
      <c r="G182" s="23" t="n"/>
      <c r="H182" s="50" t="n"/>
      <c r="I182" s="46">
        <f>IFERROR(1-H182/G182,0)</f>
        <v/>
      </c>
      <c r="J182" s="23" t="n"/>
      <c r="K182" s="23" t="n"/>
      <c r="L182" s="50" t="n"/>
      <c r="M182" s="51">
        <f>IFERROR(G182*L182,0)</f>
        <v/>
      </c>
      <c r="N182" s="30" t="n"/>
      <c r="O182" s="23" t="n"/>
      <c r="P182" s="23" t="n"/>
      <c r="Q182" s="23" t="n"/>
      <c r="R182" s="23" t="n"/>
      <c r="S182" s="23" t="n"/>
      <c r="T182" s="23" t="n"/>
      <c r="U182" s="30" t="n"/>
      <c r="V182" s="30" t="n"/>
    </row>
    <row r="183" ht="15" customHeight="1" s="57">
      <c r="A183" s="23" t="n"/>
      <c r="B183" s="30" t="n"/>
      <c r="C183" s="30" t="n"/>
      <c r="D183" s="30" t="n"/>
      <c r="E183" s="30" t="n"/>
      <c r="F183" s="23" t="n"/>
      <c r="G183" s="23" t="n"/>
      <c r="H183" s="50" t="n"/>
      <c r="I183" s="46">
        <f>IFERROR(1-H183/G183,0)</f>
        <v/>
      </c>
      <c r="J183" s="23" t="n"/>
      <c r="K183" s="23" t="n"/>
      <c r="L183" s="50" t="n"/>
      <c r="M183" s="51">
        <f>IFERROR(G183*L183,0)</f>
        <v/>
      </c>
      <c r="N183" s="30" t="n"/>
      <c r="O183" s="23" t="n"/>
      <c r="P183" s="23" t="n"/>
      <c r="Q183" s="23" t="n"/>
      <c r="R183" s="23" t="n"/>
      <c r="S183" s="23" t="n"/>
      <c r="T183" s="23" t="n"/>
      <c r="U183" s="30" t="n"/>
      <c r="V183" s="30" t="n"/>
    </row>
    <row r="184" ht="15" customHeight="1" s="57">
      <c r="A184" s="23" t="n"/>
      <c r="B184" s="30" t="n"/>
      <c r="C184" s="30" t="n"/>
      <c r="D184" s="30" t="n"/>
      <c r="E184" s="30" t="n"/>
      <c r="F184" s="23" t="n"/>
      <c r="G184" s="23" t="n"/>
      <c r="H184" s="50" t="n"/>
      <c r="I184" s="46">
        <f>IFERROR(1-H184/G184,0)</f>
        <v/>
      </c>
      <c r="J184" s="23" t="n"/>
      <c r="K184" s="23" t="n"/>
      <c r="L184" s="50" t="n"/>
      <c r="M184" s="51">
        <f>IFERROR(G184*L184,0)</f>
        <v/>
      </c>
      <c r="N184" s="30" t="n"/>
      <c r="O184" s="23" t="n"/>
      <c r="P184" s="23" t="n"/>
      <c r="Q184" s="23" t="n"/>
      <c r="R184" s="23" t="n"/>
      <c r="S184" s="23" t="n"/>
      <c r="T184" s="23" t="n"/>
      <c r="U184" s="30" t="n"/>
      <c r="V184" s="30" t="n"/>
    </row>
    <row r="185" ht="15" customHeight="1" s="57">
      <c r="A185" s="23" t="n"/>
      <c r="B185" s="30" t="n"/>
      <c r="C185" s="30" t="n"/>
      <c r="D185" s="30" t="n"/>
      <c r="E185" s="30" t="n"/>
      <c r="F185" s="23" t="n"/>
      <c r="G185" s="23" t="n"/>
      <c r="H185" s="50" t="n"/>
      <c r="I185" s="46">
        <f>IFERROR(1-H185/G185,0)</f>
        <v/>
      </c>
      <c r="J185" s="23" t="n"/>
      <c r="K185" s="23" t="n"/>
      <c r="L185" s="50" t="n"/>
      <c r="M185" s="51">
        <f>IFERROR(G185*L185,0)</f>
        <v/>
      </c>
      <c r="N185" s="30" t="n"/>
      <c r="O185" s="23" t="n"/>
      <c r="P185" s="23" t="n"/>
      <c r="Q185" s="23" t="n"/>
      <c r="R185" s="23" t="n"/>
      <c r="S185" s="23" t="n"/>
      <c r="T185" s="23" t="n"/>
      <c r="U185" s="30" t="n"/>
      <c r="V185" s="30" t="n"/>
    </row>
    <row r="186" ht="15" customHeight="1" s="57">
      <c r="A186" s="23" t="n"/>
      <c r="B186" s="30" t="n"/>
      <c r="C186" s="30" t="n"/>
      <c r="D186" s="30" t="n"/>
      <c r="E186" s="30" t="n"/>
      <c r="F186" s="23" t="n"/>
      <c r="G186" s="23" t="n"/>
      <c r="H186" s="50" t="n"/>
      <c r="I186" s="46">
        <f>IFERROR(1-H186/G186,0)</f>
        <v/>
      </c>
      <c r="J186" s="23" t="n"/>
      <c r="K186" s="23" t="n"/>
      <c r="L186" s="50" t="n"/>
      <c r="M186" s="51">
        <f>IFERROR(G186*L186,0)</f>
        <v/>
      </c>
      <c r="N186" s="30" t="n"/>
      <c r="O186" s="23" t="n"/>
      <c r="P186" s="23" t="n"/>
      <c r="Q186" s="23" t="n"/>
      <c r="R186" s="23" t="n"/>
      <c r="S186" s="23" t="n"/>
      <c r="T186" s="23" t="n"/>
      <c r="U186" s="30" t="n"/>
      <c r="V186" s="30" t="n"/>
    </row>
    <row r="187" ht="15" customHeight="1" s="57">
      <c r="A187" s="23" t="n"/>
      <c r="B187" s="30" t="n"/>
      <c r="C187" s="30" t="n"/>
      <c r="D187" s="30" t="n"/>
      <c r="E187" s="30" t="n"/>
      <c r="F187" s="23" t="n"/>
      <c r="G187" s="23" t="n"/>
      <c r="H187" s="50" t="n"/>
      <c r="I187" s="46">
        <f>IFERROR(1-H187/G187,0)</f>
        <v/>
      </c>
      <c r="J187" s="23" t="n"/>
      <c r="K187" s="23" t="n"/>
      <c r="L187" s="50" t="n"/>
      <c r="M187" s="51">
        <f>IFERROR(G187*L187,0)</f>
        <v/>
      </c>
      <c r="N187" s="30" t="n"/>
      <c r="O187" s="23" t="n"/>
      <c r="P187" s="23" t="n"/>
      <c r="Q187" s="23" t="n"/>
      <c r="R187" s="23" t="n"/>
      <c r="S187" s="23" t="n"/>
      <c r="T187" s="23" t="n"/>
      <c r="U187" s="30" t="n"/>
      <c r="V187" s="30" t="n"/>
    </row>
    <row r="188" ht="15" customHeight="1" s="57">
      <c r="A188" s="23" t="n"/>
      <c r="B188" s="30" t="n"/>
      <c r="C188" s="30" t="n"/>
      <c r="D188" s="30" t="n"/>
      <c r="E188" s="30" t="n"/>
      <c r="F188" s="23" t="n"/>
      <c r="G188" s="23" t="n"/>
      <c r="H188" s="50" t="n"/>
      <c r="I188" s="46">
        <f>IFERROR(1-H188/G188,0)</f>
        <v/>
      </c>
      <c r="J188" s="23" t="n"/>
      <c r="K188" s="23" t="n"/>
      <c r="L188" s="50" t="n"/>
      <c r="M188" s="51">
        <f>IFERROR(G188*L188,0)</f>
        <v/>
      </c>
      <c r="N188" s="30" t="n"/>
      <c r="O188" s="23" t="n"/>
      <c r="P188" s="23" t="n"/>
      <c r="Q188" s="23" t="n"/>
      <c r="R188" s="23" t="n"/>
      <c r="S188" s="23" t="n"/>
      <c r="T188" s="23" t="n"/>
      <c r="U188" s="30" t="n"/>
      <c r="V188" s="30" t="n"/>
    </row>
    <row r="189" ht="15" customHeight="1" s="57">
      <c r="A189" s="23" t="n"/>
      <c r="B189" s="30" t="n"/>
      <c r="C189" s="30" t="n"/>
      <c r="D189" s="30" t="n"/>
      <c r="E189" s="30" t="n"/>
      <c r="F189" s="23" t="n"/>
      <c r="G189" s="23" t="n"/>
      <c r="H189" s="50" t="n"/>
      <c r="I189" s="46">
        <f>IFERROR(1-H189/G189,0)</f>
        <v/>
      </c>
      <c r="J189" s="23" t="n"/>
      <c r="K189" s="23" t="n"/>
      <c r="L189" s="50" t="n"/>
      <c r="M189" s="51">
        <f>IFERROR(G189*L189,0)</f>
        <v/>
      </c>
      <c r="N189" s="30" t="n"/>
      <c r="O189" s="23" t="n"/>
      <c r="P189" s="23" t="n"/>
      <c r="Q189" s="23" t="n"/>
      <c r="R189" s="23" t="n"/>
      <c r="S189" s="23" t="n"/>
      <c r="T189" s="23" t="n"/>
      <c r="U189" s="30" t="n"/>
      <c r="V189" s="30" t="n"/>
    </row>
    <row r="190" ht="15" customHeight="1" s="57">
      <c r="A190" s="23" t="n"/>
      <c r="B190" s="30" t="n"/>
      <c r="C190" s="30" t="n"/>
      <c r="D190" s="30" t="n"/>
      <c r="E190" s="30" t="n"/>
      <c r="F190" s="23" t="n"/>
      <c r="G190" s="23" t="n"/>
      <c r="H190" s="50" t="n"/>
      <c r="I190" s="46">
        <f>IFERROR(1-H190/G190,0)</f>
        <v/>
      </c>
      <c r="J190" s="23" t="n"/>
      <c r="K190" s="23" t="n"/>
      <c r="L190" s="50" t="n"/>
      <c r="M190" s="51">
        <f>IFERROR(G190*L190,0)</f>
        <v/>
      </c>
      <c r="N190" s="30" t="n"/>
      <c r="O190" s="23" t="n"/>
      <c r="P190" s="23" t="n"/>
      <c r="Q190" s="23" t="n"/>
      <c r="R190" s="23" t="n"/>
      <c r="S190" s="23" t="n"/>
      <c r="T190" s="23" t="n"/>
      <c r="U190" s="30" t="n"/>
      <c r="V190" s="30" t="n"/>
    </row>
    <row r="191" ht="15" customHeight="1" s="57">
      <c r="A191" s="23" t="n"/>
      <c r="B191" s="30" t="n"/>
      <c r="C191" s="30" t="n"/>
      <c r="D191" s="30" t="n"/>
      <c r="E191" s="30" t="n"/>
      <c r="F191" s="23" t="n"/>
      <c r="G191" s="23" t="n"/>
      <c r="H191" s="50" t="n"/>
      <c r="I191" s="46">
        <f>IFERROR(1-H191/G191,0)</f>
        <v/>
      </c>
      <c r="J191" s="23" t="n"/>
      <c r="K191" s="23" t="n"/>
      <c r="L191" s="50" t="n"/>
      <c r="M191" s="51">
        <f>IFERROR(G191*L191,0)</f>
        <v/>
      </c>
      <c r="N191" s="30" t="n"/>
      <c r="O191" s="23" t="n"/>
      <c r="P191" s="23" t="n"/>
      <c r="Q191" s="23" t="n"/>
      <c r="R191" s="23" t="n"/>
      <c r="S191" s="23" t="n"/>
      <c r="T191" s="23" t="n"/>
      <c r="U191" s="30" t="n"/>
      <c r="V191" s="30" t="n"/>
    </row>
    <row r="192" ht="15" customHeight="1" s="57">
      <c r="A192" s="23" t="n"/>
      <c r="B192" s="30" t="n"/>
      <c r="C192" s="30" t="n"/>
      <c r="D192" s="30" t="n"/>
      <c r="E192" s="30" t="n"/>
      <c r="F192" s="23" t="n"/>
      <c r="G192" s="23" t="n"/>
      <c r="H192" s="50" t="n"/>
      <c r="I192" s="46">
        <f>IFERROR(1-H192/G192,0)</f>
        <v/>
      </c>
      <c r="J192" s="23" t="n"/>
      <c r="K192" s="23" t="n"/>
      <c r="L192" s="50" t="n"/>
      <c r="M192" s="51">
        <f>IFERROR(G192*L192,0)</f>
        <v/>
      </c>
      <c r="N192" s="30" t="n"/>
      <c r="O192" s="23" t="n"/>
      <c r="P192" s="23" t="n"/>
      <c r="Q192" s="23" t="n"/>
      <c r="R192" s="23" t="n"/>
      <c r="S192" s="23" t="n"/>
      <c r="T192" s="23" t="n"/>
      <c r="U192" s="30" t="n"/>
      <c r="V192" s="30" t="n"/>
    </row>
    <row r="193" ht="15" customHeight="1" s="57">
      <c r="A193" s="23" t="n"/>
      <c r="B193" s="30" t="n"/>
      <c r="C193" s="30" t="n"/>
      <c r="D193" s="30" t="n"/>
      <c r="E193" s="30" t="n"/>
      <c r="F193" s="23" t="n"/>
      <c r="G193" s="23" t="n"/>
      <c r="H193" s="50" t="n"/>
      <c r="I193" s="46">
        <f>IFERROR(1-H193/G193,0)</f>
        <v/>
      </c>
      <c r="J193" s="23" t="n"/>
      <c r="K193" s="23" t="n"/>
      <c r="L193" s="50" t="n"/>
      <c r="M193" s="51">
        <f>IFERROR(G193*L193,0)</f>
        <v/>
      </c>
      <c r="N193" s="30" t="n"/>
      <c r="O193" s="23" t="n"/>
      <c r="P193" s="23" t="n"/>
      <c r="Q193" s="23" t="n"/>
      <c r="R193" s="23" t="n"/>
      <c r="S193" s="23" t="n"/>
      <c r="T193" s="23" t="n"/>
      <c r="U193" s="30" t="n"/>
      <c r="V193" s="30" t="n"/>
    </row>
    <row r="194" ht="15" customHeight="1" s="57">
      <c r="A194" s="23" t="n"/>
      <c r="B194" s="30" t="n"/>
      <c r="C194" s="30" t="n"/>
      <c r="D194" s="30" t="n"/>
      <c r="E194" s="30" t="n"/>
      <c r="F194" s="23" t="n"/>
      <c r="G194" s="23" t="n"/>
      <c r="H194" s="50" t="n"/>
      <c r="I194" s="46">
        <f>IFERROR(1-H194/G194,0)</f>
        <v/>
      </c>
      <c r="J194" s="23" t="n"/>
      <c r="K194" s="23" t="n"/>
      <c r="L194" s="50" t="n"/>
      <c r="M194" s="51">
        <f>IFERROR(G194*L194,0)</f>
        <v/>
      </c>
      <c r="N194" s="30" t="n"/>
      <c r="O194" s="23" t="n"/>
      <c r="P194" s="23" t="n"/>
      <c r="Q194" s="23" t="n"/>
      <c r="R194" s="23" t="n"/>
      <c r="S194" s="23" t="n"/>
      <c r="T194" s="23" t="n"/>
      <c r="U194" s="30" t="n"/>
      <c r="V194" s="30" t="n"/>
    </row>
    <row r="195" ht="15" customHeight="1" s="57">
      <c r="A195" s="23" t="n"/>
      <c r="B195" s="30" t="n"/>
      <c r="C195" s="30" t="n"/>
      <c r="D195" s="30" t="n"/>
      <c r="E195" s="30" t="n"/>
      <c r="F195" s="23" t="n"/>
      <c r="G195" s="23" t="n"/>
      <c r="H195" s="50" t="n"/>
      <c r="I195" s="46">
        <f>IFERROR(1-H195/G195,0)</f>
        <v/>
      </c>
      <c r="J195" s="23" t="n"/>
      <c r="K195" s="23" t="n"/>
      <c r="L195" s="50" t="n"/>
      <c r="M195" s="51">
        <f>IFERROR(G195*L195,0)</f>
        <v/>
      </c>
      <c r="N195" s="30" t="n"/>
      <c r="O195" s="23" t="n"/>
      <c r="P195" s="23" t="n"/>
      <c r="Q195" s="23" t="n"/>
      <c r="R195" s="23" t="n"/>
      <c r="S195" s="23" t="n"/>
      <c r="T195" s="23" t="n"/>
      <c r="U195" s="30" t="n"/>
      <c r="V195" s="30" t="n"/>
    </row>
    <row r="196" ht="15" customHeight="1" s="57">
      <c r="A196" s="23" t="n"/>
      <c r="B196" s="30" t="n"/>
      <c r="C196" s="30" t="n"/>
      <c r="D196" s="30" t="n"/>
      <c r="E196" s="30" t="n"/>
      <c r="F196" s="23" t="n"/>
      <c r="G196" s="23" t="n"/>
      <c r="H196" s="50" t="n"/>
      <c r="I196" s="46">
        <f>IFERROR(1-H196/G196,0)</f>
        <v/>
      </c>
      <c r="J196" s="23" t="n"/>
      <c r="K196" s="23" t="n"/>
      <c r="L196" s="50" t="n"/>
      <c r="M196" s="51">
        <f>IFERROR(G196*L196,0)</f>
        <v/>
      </c>
      <c r="N196" s="30" t="n"/>
      <c r="O196" s="23" t="n"/>
      <c r="P196" s="23" t="n"/>
      <c r="Q196" s="23" t="n"/>
      <c r="R196" s="23" t="n"/>
      <c r="S196" s="23" t="n"/>
      <c r="T196" s="23" t="n"/>
      <c r="U196" s="30" t="n"/>
      <c r="V196" s="30" t="n"/>
    </row>
    <row r="197" ht="15" customHeight="1" s="57">
      <c r="A197" s="23" t="n"/>
      <c r="B197" s="30" t="n"/>
      <c r="C197" s="30" t="n"/>
      <c r="D197" s="30" t="n"/>
      <c r="E197" s="30" t="n"/>
      <c r="F197" s="23" t="n"/>
      <c r="G197" s="23" t="n"/>
      <c r="H197" s="50" t="n"/>
      <c r="I197" s="46">
        <f>IFERROR(1-H197/G197,0)</f>
        <v/>
      </c>
      <c r="J197" s="23" t="n"/>
      <c r="K197" s="23" t="n"/>
      <c r="L197" s="50" t="n"/>
      <c r="M197" s="51">
        <f>IFERROR(G197*L197,0)</f>
        <v/>
      </c>
      <c r="N197" s="30" t="n"/>
      <c r="O197" s="23" t="n"/>
      <c r="P197" s="23" t="n"/>
      <c r="Q197" s="23" t="n"/>
      <c r="R197" s="23" t="n"/>
      <c r="S197" s="23" t="n"/>
      <c r="T197" s="23" t="n"/>
      <c r="U197" s="30" t="n"/>
      <c r="V197" s="30" t="n"/>
    </row>
    <row r="198" ht="15" customHeight="1" s="57">
      <c r="A198" s="23" t="n"/>
      <c r="B198" s="30" t="n"/>
      <c r="C198" s="30" t="n"/>
      <c r="D198" s="30" t="n"/>
      <c r="E198" s="30" t="n"/>
      <c r="F198" s="23" t="n"/>
      <c r="G198" s="23" t="n"/>
      <c r="H198" s="50" t="n"/>
      <c r="I198" s="46">
        <f>IFERROR(1-H198/G198,0)</f>
        <v/>
      </c>
      <c r="J198" s="23" t="n"/>
      <c r="K198" s="23" t="n"/>
      <c r="L198" s="50" t="n"/>
      <c r="M198" s="51">
        <f>IFERROR(G198*L198,0)</f>
        <v/>
      </c>
      <c r="N198" s="30" t="n"/>
      <c r="O198" s="23" t="n"/>
      <c r="P198" s="23" t="n"/>
      <c r="Q198" s="23" t="n"/>
      <c r="R198" s="23" t="n"/>
      <c r="S198" s="23" t="n"/>
      <c r="T198" s="23" t="n"/>
      <c r="U198" s="30" t="n"/>
      <c r="V198" s="30" t="n"/>
    </row>
    <row r="199" ht="15" customHeight="1" s="57">
      <c r="A199" s="23" t="n"/>
      <c r="B199" s="30" t="n"/>
      <c r="C199" s="30" t="n"/>
      <c r="D199" s="30" t="n"/>
      <c r="E199" s="30" t="n"/>
      <c r="F199" s="23" t="n"/>
      <c r="G199" s="23" t="n"/>
      <c r="H199" s="50" t="n"/>
      <c r="I199" s="46">
        <f>IFERROR(1-H199/G199,0)</f>
        <v/>
      </c>
      <c r="J199" s="23" t="n"/>
      <c r="K199" s="23" t="n"/>
      <c r="L199" s="50" t="n"/>
      <c r="M199" s="51">
        <f>IFERROR(G199*L199,0)</f>
        <v/>
      </c>
      <c r="N199" s="30" t="n"/>
      <c r="O199" s="23" t="n"/>
      <c r="P199" s="23" t="n"/>
      <c r="Q199" s="23" t="n"/>
      <c r="R199" s="23" t="n"/>
      <c r="S199" s="23" t="n"/>
      <c r="T199" s="23" t="n"/>
      <c r="U199" s="30" t="n"/>
      <c r="V199" s="30" t="n"/>
    </row>
    <row r="200" ht="15" customHeight="1" s="57">
      <c r="A200" s="23" t="n"/>
      <c r="B200" s="30" t="n"/>
      <c r="C200" s="30" t="n"/>
      <c r="D200" s="30" t="n"/>
      <c r="E200" s="30" t="n"/>
      <c r="F200" s="23" t="n"/>
      <c r="G200" s="23" t="n"/>
      <c r="H200" s="50" t="n"/>
      <c r="I200" s="46">
        <f>IFERROR(1-H200/G200,0)</f>
        <v/>
      </c>
      <c r="J200" s="23" t="n"/>
      <c r="K200" s="23" t="n"/>
      <c r="L200" s="50" t="n"/>
      <c r="M200" s="51">
        <f>IFERROR(G200*L200,0)</f>
        <v/>
      </c>
      <c r="N200" s="30" t="n"/>
      <c r="O200" s="23" t="n"/>
      <c r="P200" s="23" t="n"/>
      <c r="Q200" s="23" t="n"/>
      <c r="R200" s="23" t="n"/>
      <c r="S200" s="23" t="n"/>
      <c r="T200" s="23" t="n"/>
      <c r="U200" s="30" t="n"/>
      <c r="V200" s="30" t="n"/>
    </row>
    <row r="201" ht="15" customHeight="1" s="57">
      <c r="A201" s="23" t="n"/>
      <c r="B201" s="30" t="n"/>
      <c r="C201" s="30" t="n"/>
      <c r="D201" s="30" t="n"/>
      <c r="E201" s="30" t="n"/>
      <c r="F201" s="23" t="n"/>
      <c r="G201" s="23" t="n"/>
      <c r="H201" s="50" t="n"/>
      <c r="I201" s="46">
        <f>IFERROR(1-H201/G201,0)</f>
        <v/>
      </c>
      <c r="J201" s="23" t="n"/>
      <c r="K201" s="23" t="n"/>
      <c r="L201" s="50" t="n"/>
      <c r="M201" s="51">
        <f>IFERROR(G201*L201,0)</f>
        <v/>
      </c>
      <c r="N201" s="30" t="n"/>
      <c r="O201" s="23" t="n"/>
      <c r="P201" s="23" t="n"/>
      <c r="Q201" s="23" t="n"/>
      <c r="R201" s="23" t="n"/>
      <c r="S201" s="23" t="n"/>
      <c r="T201" s="23" t="n"/>
      <c r="U201" s="30" t="n"/>
      <c r="V201" s="30" t="n"/>
    </row>
    <row r="202" ht="15" customHeight="1" s="57">
      <c r="A202" s="23" t="n"/>
      <c r="B202" s="30" t="n"/>
      <c r="C202" s="30" t="n"/>
      <c r="D202" s="30" t="n"/>
      <c r="E202" s="30" t="n"/>
      <c r="F202" s="23" t="n"/>
      <c r="G202" s="23" t="n"/>
      <c r="H202" s="50" t="n"/>
      <c r="I202" s="46">
        <f>IFERROR(1-H202/G202,0)</f>
        <v/>
      </c>
      <c r="J202" s="23" t="n"/>
      <c r="K202" s="23" t="n"/>
      <c r="L202" s="50" t="n"/>
      <c r="M202" s="51">
        <f>IFERROR(G202*L202,0)</f>
        <v/>
      </c>
      <c r="N202" s="30" t="n"/>
      <c r="O202" s="23" t="n"/>
      <c r="P202" s="23" t="n"/>
      <c r="Q202" s="23" t="n"/>
      <c r="R202" s="23" t="n"/>
      <c r="S202" s="23" t="n"/>
      <c r="T202" s="23" t="n"/>
      <c r="U202" s="30" t="n"/>
      <c r="V202" s="30" t="n"/>
    </row>
    <row r="203" ht="15" customHeight="1" s="57">
      <c r="A203" s="23" t="n"/>
      <c r="B203" s="30" t="n"/>
      <c r="C203" s="30" t="n"/>
      <c r="D203" s="30" t="n"/>
      <c r="E203" s="30" t="n"/>
      <c r="F203" s="23" t="n"/>
      <c r="G203" s="23" t="n"/>
      <c r="H203" s="50" t="n"/>
      <c r="I203" s="46">
        <f>IFERROR(1-H203/G203,0)</f>
        <v/>
      </c>
      <c r="J203" s="23" t="n"/>
      <c r="K203" s="23" t="n"/>
      <c r="L203" s="50" t="n"/>
      <c r="M203" s="51">
        <f>IFERROR(G203*L203,0)</f>
        <v/>
      </c>
      <c r="N203" s="30" t="n"/>
      <c r="O203" s="23" t="n"/>
      <c r="P203" s="23" t="n"/>
      <c r="Q203" s="23" t="n"/>
      <c r="R203" s="23" t="n"/>
      <c r="S203" s="23" t="n"/>
      <c r="T203" s="23" t="n"/>
      <c r="U203" s="30" t="n"/>
      <c r="V203" s="30" t="n"/>
    </row>
    <row r="204" ht="15" customHeight="1" s="57">
      <c r="A204" s="23" t="n"/>
      <c r="B204" s="30" t="n"/>
      <c r="C204" s="30" t="n"/>
      <c r="D204" s="30" t="n"/>
      <c r="E204" s="30" t="n"/>
      <c r="F204" s="23" t="n"/>
      <c r="G204" s="23" t="n"/>
      <c r="H204" s="50" t="n"/>
      <c r="I204" s="46">
        <f>IFERROR(1-H204/G204,0)</f>
        <v/>
      </c>
      <c r="J204" s="23" t="n"/>
      <c r="K204" s="23" t="n"/>
      <c r="L204" s="50" t="n"/>
      <c r="M204" s="51">
        <f>IFERROR(G204*L204,0)</f>
        <v/>
      </c>
      <c r="N204" s="30" t="n"/>
      <c r="O204" s="23" t="n"/>
      <c r="P204" s="23" t="n"/>
      <c r="Q204" s="23" t="n"/>
      <c r="R204" s="23" t="n"/>
      <c r="S204" s="23" t="n"/>
      <c r="T204" s="23" t="n"/>
      <c r="U204" s="30" t="n"/>
      <c r="V204" s="30" t="n"/>
    </row>
    <row r="205">
      <c r="I205">
        <f>IFERROR(1-H205/G205,0)</f>
        <v/>
      </c>
      <c r="M205">
        <f>IFERROR(G205*L205,0)</f>
        <v/>
      </c>
    </row>
    <row r="206" ht="19.5" customHeight="1" s="57">
      <c r="A206" t="inlineStr">
        <is>
          <t>PORTFOLIO TOTALS (active SKUs)</t>
        </is>
      </c>
      <c r="B206" s="62" t="n"/>
      <c r="C206" s="10" t="n"/>
      <c r="D206" s="10" t="n"/>
      <c r="E206" s="10" t="n"/>
      <c r="F206" s="52" t="n"/>
      <c r="G206" s="31">
        <f>IFERROR(SUMPRODUCT((W5:W204="Y")*M5:M204)/SUMPRODUCT((W5:W204="Y")*L5:L204),0)</f>
        <v/>
      </c>
      <c r="H206" s="31">
        <f>IFERROR(SUMPRODUCT((W5:W204="Y")*H5:H204*L5:L204)/SUMPRODUCT((W5:W204="Y")*L5:L204),0)</f>
        <v/>
      </c>
      <c r="I206" s="53">
        <f>IFERROR(SUMPRODUCT((W5:W204="Y")*I5:I204*M5:M204)/SUMPRODUCT((W5:W204="Y")*M5:M204),0)</f>
        <v/>
      </c>
      <c r="K206" s="52" t="n"/>
      <c r="L206" s="32">
        <f>SUMPRODUCT((W5:W204="Y")*L5:L204)</f>
        <v/>
      </c>
      <c r="M206" s="54">
        <f>SUMPRODUCT((W5:W204="Y")*M5:M204)</f>
        <v/>
      </c>
      <c r="V206" s="52" t="n"/>
      <c r="W206" s="55">
        <f>COUNTIF(W5:W204,"Y")&amp;" active SKUs"</f>
        <v/>
      </c>
    </row>
  </sheetData>
  <mergeCells count="6">
    <mergeCell ref="B1:E1"/>
    <mergeCell ref="O1:Q1"/>
    <mergeCell ref="F1:J1"/>
    <mergeCell ref="U1:V1"/>
    <mergeCell ref="R1:T1"/>
    <mergeCell ref="K1:N1"/>
  </mergeCells>
  <dataValidations count="11">
    <dataValidation sqref="E5:E204" showDropDown="0" showInputMessage="1" showErrorMessage="1" allowBlank="0" errorTitle="Invalid Segment" error="Choose: Mass Market, Mid-Range, or Premium." promptTitle="Segment" prompt="Select the price segment for this SKU." type="list">
      <formula1>"Mass Market,Mid-Range,Premium"</formula1>
      <formula2>0</formula2>
    </dataValidation>
    <dataValidation sqref="G5:G204" showDropDown="0" showInputMessage="1" showErrorMessage="1" allowBlank="1" errorTitle="Invalid RRP" error="RRP must be a number greater than 0. Do not include ₦ symbol or commas." promptTitle="RRP ₦/unit" prompt="Enter the retail selling price per unit in Naira. Numbers only — no ₦ symbol." type="decimal" operator="greaterThan">
      <formula1>0</formula1>
      <formula2>0</formula2>
    </dataValidation>
    <dataValidation sqref="H5:H204" showDropDown="0" showInputMessage="1" showErrorMessage="1" allowBlank="1" errorTitle="Invalid COGS" error="COGS must be a number greater than 0. Do not include ₦ symbol or commas." promptTitle="COGS ₦/unit" prompt="Enter the cost of goods sold per unit in Naira. Numbers only." type="decimal" operator="greaterThan">
      <formula1>0</formula1>
      <formula2>0</formula2>
    </dataValidation>
    <dataValidation sqref="J5:J204" showDropDown="0" showInputMessage="1" showErrorMessage="1" allowBlank="1" errorTitle="Invalid Elasticity" error="Elasticity must be between -3.0 and 0.0. See Reference Lists tab for category proxies." promptTitle="Price Elasticity" prompt="Enter as a negative decimal e.g. -0.7. See Reference Lists for guidance by category type." type="decimal">
      <formula1>-3</formula1>
      <formula2>0</formula2>
    </dataValidation>
    <dataValidation sqref="L5:L204" showDropDown="0" showInputMessage="1" showErrorMessage="1" allowBlank="1" errorTitle="Invalid Volume" error="Volume must be a whole number greater than 0." promptTitle="Monthly Volume" prompt="Enter monthly sales volume in units." type="whole" operator="greaterThan">
      <formula1>0</formula1>
      <formula2>0</formula2>
    </dataValidation>
    <dataValidation sqref="N5:N204" showDropDown="0" showInputMessage="1" showErrorMessage="1" allowBlank="0" errorTitle="Invalid Channel" error="Select a channel from the dropdown list." promptTitle="Primary Channel" prompt="Select the main sales channel for this SKU." type="list">
      <formula1>"Modern Trade,Open Market,HoReCa,Wholesale,Direct,E-Commerce,Other"</formula1>
      <formula2>0</formula2>
    </dataValidation>
    <dataValidation sqref="O5:O204" showDropDown="0" showInputMessage="1" showErrorMessage="1" allowBlank="1" errorTitle="Channel Split Format" error="Use format: MT:60,OM:40. Valid codes: MT, OM, HO, WS, DI, EC, OT. Must total 100%." promptTitle="Channel Split" prompt="Format: CODE:%, e.g. MT:60,OM:30,WS:10. Codes: MT=Modern Trade, OM=Open Market, HO=HoReCa, WS=Wholesale, DI=Direct, EC=E-Commerce, OT=Other." type="textLength" operator="lessThanOrEqual">
      <formula1>100</formula1>
      <formula2>0</formula2>
    </dataValidation>
    <dataValidation sqref="P5:U204" showDropDown="0" showInputMessage="1" showErrorMessage="1" allowBlank="1" errorTitle="Invalid Rate" error="Enter as a decimal between -1.0 and 5.0. Example: 22% = 0.22. Do NOT enter 22." promptTitle="Rate Field" prompt="Enter as decimal. Example: 22% inflation = 0.22. Range: -1.0 to 5.0." type="decimal">
      <formula1>-1</formula1>
      <formula2>5</formula2>
    </dataValidation>
    <dataValidation sqref="V5:V204" showDropDown="0" showInputMessage="1" showErrorMessage="1" allowBlank="1" errorTitle="Invalid Region" error="Select a region from the dropdown list." promptTitle="Region" prompt="Select the primary sales region for this SKU." type="list">
      <formula1>"Lagos,Abuja,Kano,Port Harcourt,Ibadan,Onitsha,Owerri,Enugu,Benin City,Other"</formula1>
      <formula2>0</formula2>
    </dataValidation>
    <dataValidation sqref="W5:W204" showDropDown="0" showInputMessage="1" showErrorMessage="1" allowBlank="0" errorTitle="Invalid Active Flag" error="Enter Y (active) or N (inactive)." promptTitle="Active Flag" prompt="Y = include in analysis. N = exclude." type="list">
      <formula1>"Y,N"</formula1>
      <formula2>0</formula2>
    </dataValidation>
    <dataValidation sqref="B5:B204" showDropDown="0" showInputMessage="0" showErrorMessage="1" allowBlank="1" errorTitle="Duplicate SKU ID" error="This SKU ID already exists in your upload. Each row must have a unique SKU ID." type="custom">
      <formula1>COUNTIF($B$5:$B$204,B5)=1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70"/>
  <sheetViews>
    <sheetView showGridLines="0" tabSelected="1" zoomScale="246" zoomScaleNormal="100" workbookViewId="0">
      <selection activeCell="F5" sqref="F5"/>
    </sheetView>
  </sheetViews>
  <sheetFormatPr baseColWidth="10" defaultColWidth="8.6640625" defaultRowHeight="15"/>
  <cols>
    <col width="3" customWidth="1" style="57" min="1" max="1"/>
    <col width="38.5" customWidth="1" style="57" min="2" max="2"/>
    <col width="3" customWidth="1" style="57" min="3" max="3"/>
    <col width="22" customWidth="1" style="57" min="4" max="4"/>
    <col width="3" customWidth="1" style="57" min="5" max="5"/>
    <col width="27.6640625" customWidth="1" style="57" min="6" max="6"/>
    <col width="3" customWidth="1" style="57" min="7" max="7"/>
    <col width="25.5" customWidth="1" style="57" min="8" max="8"/>
    <col width="3" customWidth="1" style="57" min="9" max="9"/>
    <col width="28" customWidth="1" style="57" min="10" max="10"/>
    <col width="24" customWidth="1" style="57" min="11" max="11"/>
    <col width="45" customWidth="1" style="57" min="12" max="12"/>
  </cols>
  <sheetData>
    <row r="1" ht="24" customHeight="1" s="57">
      <c r="B1" s="68" t="inlineStr">
        <is>
          <t xml:space="preserve">  REFERENCE LISTS  ·  FMCG Vertical  ·  Valid values for dropdown fields</t>
        </is>
      </c>
    </row>
    <row r="2" ht="24" customHeight="1" s="57">
      <c r="B2" s="33" t="inlineStr">
        <is>
          <t xml:space="preserve">  CATEGORY  -  SKU Data Col D  ·  40 categories (FMCG)</t>
        </is>
      </c>
      <c r="D2" s="33" t="inlineStr">
        <is>
          <t xml:space="preserve">  SEGMENT  -  SKU Data Col E</t>
        </is>
      </c>
      <c r="F2" s="76" t="inlineStr">
        <is>
          <t xml:space="preserve">  PRIMARY CHANNEL  -  SKU Data Col N</t>
        </is>
      </c>
      <c r="H2" s="76" t="inlineStr">
        <is>
          <t xml:space="preserve">  REGION  -  SKU Data Col V</t>
        </is>
      </c>
    </row>
    <row r="3" ht="15" customHeight="1" s="57" thickBot="1">
      <c r="B3" s="34" t="inlineStr">
        <is>
          <t>Category</t>
        </is>
      </c>
      <c r="D3" s="34" t="inlineStr">
        <is>
          <t>Segment</t>
        </is>
      </c>
      <c r="F3" s="35" t="inlineStr">
        <is>
          <t>Channel</t>
        </is>
      </c>
      <c r="H3" s="35" t="inlineStr">
        <is>
          <t>Region</t>
        </is>
      </c>
    </row>
    <row r="4" ht="13.5" customHeight="1" s="57">
      <c r="B4" s="36" t="inlineStr">
        <is>
          <t>Agricultural Inputs</t>
        </is>
      </c>
      <c r="D4" s="37" t="inlineStr">
        <is>
          <t>Mass Market</t>
        </is>
      </c>
      <c r="F4" s="37" t="inlineStr">
        <is>
          <t>Modern Trade</t>
        </is>
      </c>
      <c r="H4" s="37" t="inlineStr">
        <is>
          <t>Lagos</t>
        </is>
      </c>
    </row>
    <row r="5" ht="13.5" customHeight="1" s="57">
      <c r="B5" s="30" t="inlineStr">
        <is>
          <t>Air Care &amp; Fresheners</t>
        </is>
      </c>
      <c r="D5" s="37" t="inlineStr">
        <is>
          <t>Mid-Range</t>
        </is>
      </c>
      <c r="F5" s="37" t="inlineStr">
        <is>
          <t>Open Market</t>
        </is>
      </c>
      <c r="H5" s="37" t="inlineStr">
        <is>
          <t>Abuja</t>
        </is>
      </c>
    </row>
    <row r="6" ht="13.5" customHeight="1" s="57">
      <c r="B6" s="36" t="inlineStr">
        <is>
          <t>Alcoholic Beverages</t>
        </is>
      </c>
      <c r="D6" s="37" t="inlineStr">
        <is>
          <t>Premium</t>
        </is>
      </c>
      <c r="F6" s="37" t="inlineStr">
        <is>
          <t>HoReCa</t>
        </is>
      </c>
      <c r="H6" s="37" t="inlineStr">
        <is>
          <t>Kano</t>
        </is>
      </c>
    </row>
    <row r="7" ht="13.5" customHeight="1" s="57">
      <c r="B7" s="30" t="inlineStr">
        <is>
          <t>Animal Feed</t>
        </is>
      </c>
      <c r="F7" s="37" t="inlineStr">
        <is>
          <t>Wholesale</t>
        </is>
      </c>
      <c r="H7" s="37" t="inlineStr">
        <is>
          <t>Port Harcourt</t>
        </is>
      </c>
    </row>
    <row r="8" ht="13.5" customHeight="1" s="57">
      <c r="B8" s="36" t="inlineStr">
        <is>
          <t>Baby Care &amp; Hygiene</t>
        </is>
      </c>
      <c r="F8" s="37" t="inlineStr">
        <is>
          <t>Direct</t>
        </is>
      </c>
      <c r="H8" s="37" t="inlineStr">
        <is>
          <t>Ibadan</t>
        </is>
      </c>
    </row>
    <row r="9" ht="13.5" customHeight="1" s="57">
      <c r="B9" s="30" t="inlineStr">
        <is>
          <t>Baby Food &amp; Nutrition</t>
        </is>
      </c>
      <c r="F9" s="37" t="inlineStr">
        <is>
          <t>E-Commerce</t>
        </is>
      </c>
      <c r="H9" s="37" t="inlineStr">
        <is>
          <t>Onitsha</t>
        </is>
      </c>
    </row>
    <row r="10" ht="13.5" customHeight="1" s="57">
      <c r="B10" s="36" t="inlineStr">
        <is>
          <t>Bath &amp; Body</t>
        </is>
      </c>
      <c r="F10" s="37" t="inlineStr">
        <is>
          <t>Other</t>
        </is>
      </c>
      <c r="H10" s="37" t="inlineStr">
        <is>
          <t>Owerri</t>
        </is>
      </c>
    </row>
    <row r="11" ht="13.5" customHeight="1" s="57">
      <c r="B11" s="30" t="inlineStr">
        <is>
          <t>Biscuits &amp; Cookies</t>
        </is>
      </c>
      <c r="H11" s="37" t="inlineStr">
        <is>
          <t>Enugu</t>
        </is>
      </c>
    </row>
    <row r="12" ht="13.5" customHeight="1" s="57">
      <c r="B12" s="36" t="inlineStr">
        <is>
          <t>Canned &amp; Preserved Foods</t>
        </is>
      </c>
      <c r="H12" s="37" t="inlineStr">
        <is>
          <t>Benin City</t>
        </is>
      </c>
    </row>
    <row r="13" ht="13.5" customHeight="1" s="57">
      <c r="B13" s="30" t="inlineStr">
        <is>
          <t>Carbonated Soft Drinks</t>
        </is>
      </c>
      <c r="H13" s="37" t="inlineStr">
        <is>
          <t>Other</t>
        </is>
      </c>
    </row>
    <row r="14" ht="13.5" customHeight="1" s="57">
      <c r="B14" s="36" t="inlineStr">
        <is>
          <t>Cereals &amp; Breakfast Foods</t>
        </is>
      </c>
    </row>
    <row r="15" ht="13.5" customHeight="1" s="57">
      <c r="B15" s="30" t="inlineStr">
        <is>
          <t>Condiments &amp; Sauces</t>
        </is>
      </c>
    </row>
    <row r="16" ht="13.5" customHeight="1" s="57">
      <c r="B16" s="36" t="inlineStr">
        <is>
          <t>Confectionery &amp; Sweets</t>
        </is>
      </c>
    </row>
    <row r="17" ht="13.5" customHeight="1" s="57">
      <c r="B17" s="30" t="inlineStr">
        <is>
          <t>Dairy &amp; Chilled Foods</t>
        </is>
      </c>
    </row>
    <row r="18" ht="13.5" customHeight="1" s="57">
      <c r="B18" s="36" t="inlineStr">
        <is>
          <t>Dairy Beverages</t>
        </is>
      </c>
    </row>
    <row r="19" ht="13.5" customHeight="1" s="57">
      <c r="B19" s="30" t="inlineStr">
        <is>
          <t>Dish Care</t>
        </is>
      </c>
    </row>
    <row r="20" ht="13.5" customHeight="1" s="57">
      <c r="B20" s="36" t="inlineStr">
        <is>
          <t>Edible Oils</t>
        </is>
      </c>
    </row>
    <row r="21" ht="13.5" customHeight="1" s="57">
      <c r="B21" s="30" t="inlineStr">
        <is>
          <t>Feminine Hygiene</t>
        </is>
      </c>
    </row>
    <row r="22" ht="13.5" customHeight="1" s="57">
      <c r="B22" s="36" t="inlineStr">
        <is>
          <t>Flour &amp; Grains</t>
        </is>
      </c>
    </row>
    <row r="23" ht="13.5" customHeight="1" s="57">
      <c r="B23" s="30" t="inlineStr">
        <is>
          <t>Fragrances &amp; Deodorants</t>
        </is>
      </c>
    </row>
    <row r="24" ht="13.5" customHeight="1" s="57">
      <c r="B24" s="36" t="inlineStr">
        <is>
          <t>Haircare</t>
        </is>
      </c>
    </row>
    <row r="25" ht="13.5" customHeight="1" s="57">
      <c r="B25" s="30" t="inlineStr">
        <is>
          <t>Insect Control &amp; Repellents</t>
        </is>
      </c>
    </row>
    <row r="26" ht="13.5" customHeight="1" s="57">
      <c r="B26" s="36" t="inlineStr">
        <is>
          <t>Juices &amp; Nectars</t>
        </is>
      </c>
    </row>
    <row r="27" ht="13.5" customHeight="1" s="57">
      <c r="B27" s="30" t="inlineStr">
        <is>
          <t>Laundry &amp; Fabric Care</t>
        </is>
      </c>
    </row>
    <row r="28" ht="13.5" customHeight="1" s="57">
      <c r="B28" s="36" t="inlineStr">
        <is>
          <t>Malt &amp; Energy Drinks</t>
        </is>
      </c>
    </row>
    <row r="29" ht="13.5" customHeight="1" s="57">
      <c r="B29" s="30" t="inlineStr">
        <is>
          <t>Men's Grooming</t>
        </is>
      </c>
    </row>
    <row r="30" ht="13.5" customHeight="1" s="57">
      <c r="B30" s="36" t="inlineStr">
        <is>
          <t>Noodles &amp; Pasta</t>
        </is>
      </c>
    </row>
    <row r="31" ht="13.5" customHeight="1" s="57">
      <c r="B31" s="30" t="inlineStr">
        <is>
          <t>Oral Care</t>
        </is>
      </c>
    </row>
    <row r="32" ht="13.5" customHeight="1" s="57">
      <c r="B32" s="36" t="inlineStr">
        <is>
          <t>Rice &amp; Cereals</t>
        </is>
      </c>
    </row>
    <row r="33" ht="13.5" customHeight="1" s="57">
      <c r="B33" s="30" t="inlineStr">
        <is>
          <t>Seasonings &amp; Spices</t>
        </is>
      </c>
    </row>
    <row r="34" ht="13.5" customHeight="1" s="57">
      <c r="B34" s="36" t="inlineStr">
        <is>
          <t>Skincare</t>
        </is>
      </c>
    </row>
    <row r="35" ht="13.5" customHeight="1" s="57">
      <c r="B35" s="30" t="inlineStr">
        <is>
          <t>Snacks &amp; Crisps</t>
        </is>
      </c>
    </row>
    <row r="36" ht="13.5" customHeight="1" s="57">
      <c r="B36" s="36" t="inlineStr">
        <is>
          <t>Spreads &amp; Margarines</t>
        </is>
      </c>
    </row>
    <row r="37" ht="13.5" customHeight="1" s="57">
      <c r="B37" s="30" t="inlineStr">
        <is>
          <t>Starch &amp; Derivatives</t>
        </is>
      </c>
    </row>
    <row r="38" ht="13.5" customHeight="1" s="57">
      <c r="B38" s="36" t="inlineStr">
        <is>
          <t>Sugar &amp; Sweeteners</t>
        </is>
      </c>
    </row>
    <row r="39" ht="13.5" customHeight="1" s="57">
      <c r="B39" s="30" t="inlineStr">
        <is>
          <t>Surface &amp; Floor Cleaners</t>
        </is>
      </c>
    </row>
    <row r="40" ht="13.5" customHeight="1" s="57">
      <c r="B40" s="36" t="inlineStr">
        <is>
          <t>Tea &amp; Coffee</t>
        </is>
      </c>
    </row>
    <row r="41" ht="13.5" customHeight="1" s="57">
      <c r="B41" s="30" t="inlineStr">
        <is>
          <t>Tomato Products</t>
        </is>
      </c>
    </row>
    <row r="42" ht="13.5" customHeight="1" s="57">
      <c r="B42" s="36" t="inlineStr">
        <is>
          <t>Vitamins &amp; Wellness</t>
        </is>
      </c>
    </row>
    <row r="43" ht="13.5" customHeight="1" s="57">
      <c r="B43" s="30" t="inlineStr">
        <is>
          <t>Water &amp; Hydration</t>
        </is>
      </c>
    </row>
    <row r="46" ht="15.75" customHeight="1" s="57">
      <c r="B46" s="62" t="inlineStr">
        <is>
          <t xml:space="preserve">  ELASTICITY GUIDANCE  —  Category proxies if you don't have your own data</t>
        </is>
      </c>
    </row>
    <row r="47" ht="15.75" customHeight="1" s="57">
      <c r="B47" s="35" t="inlineStr">
        <is>
          <t>Category Type</t>
        </is>
      </c>
      <c r="J47" s="35" t="inlineStr">
        <is>
          <t>Suggested Elasticity</t>
        </is>
      </c>
      <c r="K47" s="35" t="inlineStr">
        <is>
          <t>Rationale</t>
        </is>
      </c>
    </row>
    <row r="48" ht="13.5" customHeight="1" s="57">
      <c r="B48" s="71" t="inlineStr">
        <is>
          <t>Staple grains, flour, semolina</t>
        </is>
      </c>
      <c r="C48" s="70" t="n"/>
      <c r="D48" s="70" t="n"/>
      <c r="E48" s="70" t="n"/>
      <c r="F48" s="70" t="n"/>
      <c r="G48" s="70" t="n"/>
      <c r="H48" s="70" t="n"/>
      <c r="I48" s="72" t="n"/>
      <c r="J48" s="39" t="inlineStr">
        <is>
          <t>-0.3 to -0.5</t>
        </is>
      </c>
      <c r="K48" s="71" t="inlineStr">
        <is>
          <t>Low — price-insensitive staples</t>
        </is>
      </c>
    </row>
    <row r="49" ht="13.5" customHeight="1" s="57">
      <c r="B49" s="71" t="inlineStr">
        <is>
          <t>Edible oils</t>
        </is>
      </c>
      <c r="C49" s="70" t="n"/>
      <c r="D49" s="70" t="n"/>
      <c r="E49" s="70" t="n"/>
      <c r="F49" s="70" t="n"/>
      <c r="G49" s="70" t="n"/>
      <c r="H49" s="70" t="n"/>
      <c r="I49" s="72" t="n"/>
      <c r="J49" s="39" t="inlineStr">
        <is>
          <t>-0.5 to -0.7</t>
        </is>
      </c>
      <c r="K49" s="71" t="inlineStr">
        <is>
          <t>Moderate — some substitution risk</t>
        </is>
      </c>
    </row>
    <row r="50" ht="13.5" customHeight="1" s="57">
      <c r="B50" s="71" t="inlineStr">
        <is>
          <t>Tomato products, condiments</t>
        </is>
      </c>
      <c r="C50" s="70" t="n"/>
      <c r="D50" s="70" t="n"/>
      <c r="E50" s="70" t="n"/>
      <c r="F50" s="70" t="n"/>
      <c r="G50" s="70" t="n"/>
      <c r="H50" s="70" t="n"/>
      <c r="I50" s="72" t="n"/>
      <c r="J50" s="39" t="inlineStr">
        <is>
          <t>-0.6 to -0.9</t>
        </is>
      </c>
      <c r="K50" s="71" t="inlineStr">
        <is>
          <t>Moderate to high — brand matters</t>
        </is>
      </c>
    </row>
    <row r="51" ht="13.5" customHeight="1" s="57">
      <c r="B51" s="71" t="inlineStr">
        <is>
          <t>Beverages (non-alcoholic)</t>
        </is>
      </c>
      <c r="C51" s="70" t="n"/>
      <c r="D51" s="70" t="n"/>
      <c r="E51" s="70" t="n"/>
      <c r="F51" s="70" t="n"/>
      <c r="G51" s="70" t="n"/>
      <c r="H51" s="70" t="n"/>
      <c r="I51" s="72" t="n"/>
      <c r="J51" s="39" t="inlineStr">
        <is>
          <t>-0.8 to -1.0</t>
        </is>
      </c>
      <c r="K51" s="71" t="inlineStr">
        <is>
          <t>High — competitive category</t>
        </is>
      </c>
    </row>
    <row r="52" ht="13.5" customHeight="1" s="57">
      <c r="B52" s="71" t="inlineStr">
        <is>
          <t>Dairy, premium packaged goods</t>
        </is>
      </c>
      <c r="C52" s="70" t="n"/>
      <c r="D52" s="70" t="n"/>
      <c r="E52" s="70" t="n"/>
      <c r="F52" s="70" t="n"/>
      <c r="G52" s="70" t="n"/>
      <c r="H52" s="70" t="n"/>
      <c r="I52" s="72" t="n"/>
      <c r="J52" s="39" t="inlineStr">
        <is>
          <t>-0.5 to -0.7</t>
        </is>
      </c>
      <c r="K52" s="71" t="inlineStr">
        <is>
          <t>Moderate — some premium insulation</t>
        </is>
      </c>
    </row>
    <row r="53" ht="13.5" customHeight="1" s="57">
      <c r="B53" s="71" t="inlineStr">
        <is>
          <t>Noodles, instant foods</t>
        </is>
      </c>
      <c r="C53" s="70" t="n"/>
      <c r="D53" s="70" t="n"/>
      <c r="E53" s="70" t="n"/>
      <c r="F53" s="70" t="n"/>
      <c r="G53" s="70" t="n"/>
      <c r="H53" s="70" t="n"/>
      <c r="I53" s="72" t="n"/>
      <c r="J53" s="39" t="inlineStr">
        <is>
          <t>-1.0 to -1.4</t>
        </is>
      </c>
      <c r="K53" s="71" t="inlineStr">
        <is>
          <t>High — very price-sensitive segment</t>
        </is>
      </c>
    </row>
    <row r="54" ht="13.5" customHeight="1" s="57">
      <c r="B54" s="71" t="inlineStr">
        <is>
          <t>Snacks, confectionery</t>
        </is>
      </c>
      <c r="C54" s="70" t="n"/>
      <c r="D54" s="70" t="n"/>
      <c r="E54" s="70" t="n"/>
      <c r="F54" s="70" t="n"/>
      <c r="G54" s="70" t="n"/>
      <c r="H54" s="70" t="n"/>
      <c r="I54" s="72" t="n"/>
      <c r="J54" s="39" t="inlineStr">
        <is>
          <t>-0.9 to -1.2</t>
        </is>
      </c>
      <c r="K54" s="71" t="inlineStr">
        <is>
          <t>High — discretionary spend</t>
        </is>
      </c>
    </row>
    <row r="55" ht="13.5" customHeight="1" s="57">
      <c r="B55" s="71" t="inlineStr">
        <is>
          <t>Spirits, premium alcohol</t>
        </is>
      </c>
      <c r="C55" s="70" t="n"/>
      <c r="D55" s="70" t="n"/>
      <c r="E55" s="70" t="n"/>
      <c r="F55" s="70" t="n"/>
      <c r="G55" s="70" t="n"/>
      <c r="H55" s="70" t="n"/>
      <c r="I55" s="72" t="n"/>
      <c r="J55" s="39" t="inlineStr">
        <is>
          <t>-0.4 to -0.6</t>
        </is>
      </c>
      <c r="K55" s="71" t="inlineStr">
        <is>
          <t>Low-moderate — aspirational category</t>
        </is>
      </c>
    </row>
    <row r="56" ht="13.5" customHeight="1" s="57">
      <c r="B56" s="71" t="inlineStr">
        <is>
          <t>Fresh produce, butchery</t>
        </is>
      </c>
      <c r="C56" s="70" t="n"/>
      <c r="D56" s="70" t="n"/>
      <c r="E56" s="70" t="n"/>
      <c r="F56" s="70" t="n"/>
      <c r="G56" s="70" t="n"/>
      <c r="H56" s="70" t="n"/>
      <c r="I56" s="72" t="n"/>
      <c r="J56" s="39" t="inlineStr">
        <is>
          <t>-0.6 to -0.9</t>
        </is>
      </c>
      <c r="K56" s="71" t="inlineStr">
        <is>
          <t>Moderate — freshness drives some loyalty</t>
        </is>
      </c>
    </row>
    <row r="57" ht="13.5" customHeight="1" s="57">
      <c r="B57" s="71" t="inlineStr">
        <is>
          <t>Home &amp; personal care</t>
        </is>
      </c>
      <c r="C57" s="70" t="n"/>
      <c r="D57" s="70" t="n"/>
      <c r="E57" s="70" t="n"/>
      <c r="F57" s="70" t="n"/>
      <c r="G57" s="70" t="n"/>
      <c r="H57" s="70" t="n"/>
      <c r="I57" s="72" t="n"/>
      <c r="J57" s="39" t="inlineStr">
        <is>
          <t>-0.5 to -0.8</t>
        </is>
      </c>
      <c r="K57" s="71" t="inlineStr">
        <is>
          <t>Moderate — brand and habit matter</t>
        </is>
      </c>
    </row>
    <row r="60" ht="15.75" customHeight="1" s="57">
      <c r="B60" s="62" t="inlineStr">
        <is>
          <t xml:space="preserve">  CHANNEL SPLIT CODES  —  SKU Data Col O  ·  Format: CODE:%, e.g. MT:60,OM:30,OT:10  ·  Must total 100%</t>
        </is>
      </c>
    </row>
    <row r="61" ht="15.75" customHeight="1" s="57">
      <c r="B61" s="35" t="inlineStr">
        <is>
          <t>Code</t>
        </is>
      </c>
      <c r="D61" s="35" t="inlineStr">
        <is>
          <t>Channel Name</t>
        </is>
      </c>
      <c r="G61" s="35" t="inlineStr">
        <is>
          <t>Description / Typical Use</t>
        </is>
      </c>
    </row>
    <row r="62" ht="13.5" customHeight="1" s="57">
      <c r="B62" s="39" t="inlineStr">
        <is>
          <t>MT</t>
        </is>
      </c>
      <c r="C62" s="69" t="inlineStr">
        <is>
          <t>Modern Trade</t>
        </is>
      </c>
      <c r="D62" s="70" t="n"/>
      <c r="E62" s="70" t="n"/>
      <c r="F62" s="70" t="n"/>
      <c r="G62" s="69" t="inlineStr">
        <is>
          <t>Supermarkets, hypermarkets, organised retail</t>
        </is>
      </c>
      <c r="H62" s="70" t="n"/>
      <c r="I62" s="70" t="n"/>
      <c r="J62" s="70" t="n"/>
      <c r="K62" s="70" t="n"/>
      <c r="L62" s="70" t="n"/>
    </row>
    <row r="63" ht="13.5" customHeight="1" s="57">
      <c r="B63" s="39" t="inlineStr">
        <is>
          <t>OM</t>
        </is>
      </c>
      <c r="C63" s="69" t="inlineStr">
        <is>
          <t>Open Market</t>
        </is>
      </c>
      <c r="D63" s="70" t="n"/>
      <c r="E63" s="70" t="n"/>
      <c r="F63" s="70" t="n"/>
      <c r="G63" s="69" t="inlineStr">
        <is>
          <t>Traditional trade, open-air markets, neighbourhood stores</t>
        </is>
      </c>
      <c r="H63" s="70" t="n"/>
      <c r="I63" s="70" t="n"/>
      <c r="J63" s="70" t="n"/>
      <c r="K63" s="70" t="n"/>
      <c r="L63" s="70" t="n"/>
    </row>
    <row r="64" ht="13.5" customHeight="1" s="57">
      <c r="B64" s="39" t="inlineStr">
        <is>
          <t>HO</t>
        </is>
      </c>
      <c r="C64" s="69" t="inlineStr">
        <is>
          <t>HoReCa</t>
        </is>
      </c>
      <c r="D64" s="70" t="n"/>
      <c r="E64" s="70" t="n"/>
      <c r="F64" s="70" t="n"/>
      <c r="G64" s="69" t="inlineStr">
        <is>
          <t>Hotels, restaurants, catering and institutional</t>
        </is>
      </c>
      <c r="H64" s="70" t="n"/>
      <c r="I64" s="70" t="n"/>
      <c r="J64" s="70" t="n"/>
      <c r="K64" s="70" t="n"/>
      <c r="L64" s="70" t="n"/>
    </row>
    <row r="65" ht="13.5" customHeight="1" s="57">
      <c r="B65" s="39" t="inlineStr">
        <is>
          <t>WS</t>
        </is>
      </c>
      <c r="C65" s="69" t="inlineStr">
        <is>
          <t>Wholesale</t>
        </is>
      </c>
      <c r="D65" s="70" t="n"/>
      <c r="E65" s="70" t="n"/>
      <c r="F65" s="70" t="n"/>
      <c r="G65" s="69" t="inlineStr">
        <is>
          <t>Distributors, cash-and-carry, bulk buyers</t>
        </is>
      </c>
      <c r="H65" s="70" t="n"/>
      <c r="I65" s="70" t="n"/>
      <c r="J65" s="70" t="n"/>
      <c r="K65" s="70" t="n"/>
      <c r="L65" s="70" t="n"/>
    </row>
    <row r="66" ht="13.5" customHeight="1" s="57">
      <c r="B66" s="39" t="inlineStr">
        <is>
          <t>DI</t>
        </is>
      </c>
      <c r="C66" s="69" t="inlineStr">
        <is>
          <t>Direct</t>
        </is>
      </c>
      <c r="D66" s="70" t="n"/>
      <c r="E66" s="70" t="n"/>
      <c r="F66" s="70" t="n"/>
      <c r="G66" s="69" t="inlineStr">
        <is>
          <t>Company-owned outlets, direct delivery to end-user</t>
        </is>
      </c>
      <c r="H66" s="70" t="n"/>
      <c r="I66" s="70" t="n"/>
      <c r="J66" s="70" t="n"/>
      <c r="K66" s="70" t="n"/>
      <c r="L66" s="70" t="n"/>
    </row>
    <row r="67" ht="13.5" customHeight="1" s="57">
      <c r="B67" s="39" t="inlineStr">
        <is>
          <t>EC</t>
        </is>
      </c>
      <c r="C67" s="69" t="inlineStr">
        <is>
          <t>E-Commerce</t>
        </is>
      </c>
      <c r="D67" s="70" t="n"/>
      <c r="E67" s="70" t="n"/>
      <c r="F67" s="70" t="n"/>
      <c r="G67" s="69" t="inlineStr">
        <is>
          <t>Online platforms, delivery apps, D2C webstore</t>
        </is>
      </c>
      <c r="H67" s="70" t="n"/>
      <c r="I67" s="70" t="n"/>
      <c r="J67" s="70" t="n"/>
      <c r="K67" s="70" t="n"/>
      <c r="L67" s="70" t="n"/>
    </row>
    <row r="68" ht="13.5" customHeight="1" s="57">
      <c r="B68" s="39" t="inlineStr">
        <is>
          <t>OT</t>
        </is>
      </c>
      <c r="C68" s="69" t="inlineStr">
        <is>
          <t>Other</t>
        </is>
      </c>
      <c r="D68" s="70" t="n"/>
      <c r="E68" s="70" t="n"/>
      <c r="F68" s="70" t="n"/>
      <c r="G68" s="69" t="inlineStr">
        <is>
          <t>Any channel not covered by the above codes</t>
        </is>
      </c>
      <c r="H68" s="70" t="n"/>
      <c r="I68" s="70" t="n"/>
      <c r="J68" s="70" t="n"/>
      <c r="K68" s="70" t="n"/>
      <c r="L68" s="70" t="n"/>
    </row>
    <row r="70" ht="13.5" customHeight="1" s="57">
      <c r="B70" s="40" t="inlineStr">
        <is>
          <t>EXAMPLES:</t>
        </is>
      </c>
      <c r="C70" s="73" t="inlineStr">
        <is>
          <t>MT:100  |  MT:60,OM:40  |  MT:50,OM:30,WS:20  |  MT:40,OM:30,HO:20,WS:10</t>
        </is>
      </c>
    </row>
  </sheetData>
  <mergeCells count="28">
    <mergeCell ref="C70:L70"/>
    <mergeCell ref="G66:L66"/>
    <mergeCell ref="B54:I54"/>
    <mergeCell ref="G62:L62"/>
    <mergeCell ref="C67:F67"/>
    <mergeCell ref="B46:L46"/>
    <mergeCell ref="C66:F66"/>
    <mergeCell ref="G68:L68"/>
    <mergeCell ref="B56:I56"/>
    <mergeCell ref="B52:I52"/>
    <mergeCell ref="B48:I48"/>
    <mergeCell ref="G65:L65"/>
    <mergeCell ref="C68:F68"/>
    <mergeCell ref="C62:F62"/>
    <mergeCell ref="G64:L64"/>
    <mergeCell ref="B60:L60"/>
    <mergeCell ref="B57:I57"/>
    <mergeCell ref="B1:L1"/>
    <mergeCell ref="G63:L63"/>
    <mergeCell ref="B53:I53"/>
    <mergeCell ref="C64:F64"/>
    <mergeCell ref="C65:F65"/>
    <mergeCell ref="C63:F63"/>
    <mergeCell ref="B49:I49"/>
    <mergeCell ref="B55:I55"/>
    <mergeCell ref="B51:I51"/>
    <mergeCell ref="G67:L67"/>
    <mergeCell ref="B50:I50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23"/>
  <sheetViews>
    <sheetView showGridLines="0" zoomScale="181" zoomScaleNormal="100" workbookViewId="0">
      <selection activeCell="A1" sqref="A1:XFD1"/>
    </sheetView>
  </sheetViews>
  <sheetFormatPr baseColWidth="10" defaultColWidth="8.6640625" defaultRowHeight="15"/>
  <cols>
    <col width="3" customWidth="1" style="57" min="1" max="1"/>
    <col width="26" customWidth="1" style="57" min="2" max="2"/>
    <col width="14" customWidth="1" style="57" min="3" max="3"/>
    <col width="50" customWidth="1" style="57" min="4" max="4"/>
    <col width="42" customWidth="1" style="57" min="5" max="5"/>
    <col width="3" customWidth="1" style="57" min="6" max="6"/>
  </cols>
  <sheetData>
    <row r="1" ht="25" customHeight="1" s="57">
      <c r="B1" s="68" t="inlineStr">
        <is>
          <t xml:space="preserve">  VALIDATION RULES  ·  FMCG  ·  What the platform checks on upload</t>
        </is>
      </c>
    </row>
    <row r="3" ht="15.75" customHeight="1" s="57">
      <c r="B3" s="75" t="inlineStr">
        <is>
          <t xml:space="preserve">  PASS 1 - STRUCTURAL VALIDATION  (hard stops - must fix before upload proceeds)</t>
        </is>
      </c>
    </row>
    <row r="4" ht="15" customHeight="1" s="57">
      <c r="B4" s="34" t="inlineStr">
        <is>
          <t>RULE</t>
        </is>
      </c>
      <c r="C4" s="34" t="inlineStr">
        <is>
          <t>PASS/FAIL</t>
        </is>
      </c>
      <c r="D4" s="34" t="inlineStr">
        <is>
          <t>DESCRIPTION</t>
        </is>
      </c>
      <c r="E4" s="34" t="inlineStr">
        <is>
          <t>CORRECTIVE ACTION</t>
        </is>
      </c>
    </row>
    <row r="5" ht="24" customHeight="1" s="57">
      <c r="B5" s="71" t="inlineStr">
        <is>
          <t>File format</t>
        </is>
      </c>
      <c r="C5" s="41" t="inlineStr">
        <is>
          <t>HARD STOP</t>
        </is>
      </c>
      <c r="D5" s="37" t="inlineStr">
        <is>
          <t>File must be .xlsx or .csv</t>
        </is>
      </c>
      <c r="E5" s="37" t="inlineStr">
        <is>
          <t>Re-save as .xlsx from Excel</t>
        </is>
      </c>
    </row>
    <row r="6" ht="24" customHeight="1" s="57">
      <c r="B6" s="71" t="inlineStr">
        <is>
          <t>All columns present</t>
        </is>
      </c>
      <c r="C6" s="41" t="inlineStr">
        <is>
          <t>HARD STOP</t>
        </is>
      </c>
      <c r="D6" s="37" t="inlineStr">
        <is>
          <t>All 22 column names must exist in exact API format</t>
        </is>
      </c>
      <c r="E6" s="37" t="inlineStr">
        <is>
          <t>Do not rename or delete columns</t>
        </is>
      </c>
    </row>
    <row r="7" ht="24" customHeight="1" s="57">
      <c r="B7" s="71" t="inlineStr">
        <is>
          <t>Required fields</t>
        </is>
      </c>
      <c r="C7" s="41" t="inlineStr">
        <is>
          <t>HARD STOP</t>
        </is>
      </c>
      <c r="D7" s="37" t="inlineStr">
        <is>
          <t>sku_id, sku_name, category, segment, rrp, cogs_per_unit, monthly_volume_units, primary_channel, active — cannot be blank</t>
        </is>
      </c>
      <c r="E7" s="37" t="inlineStr">
        <is>
          <t>Complete all yellow cells</t>
        </is>
      </c>
    </row>
    <row r="8" ht="24" customHeight="1" s="57">
      <c r="B8" s="71" t="inlineStr">
        <is>
          <t>Unique SKU IDs</t>
        </is>
      </c>
      <c r="C8" s="41" t="inlineStr">
        <is>
          <t>HARD STOP</t>
        </is>
      </c>
      <c r="D8" s="37" t="inlineStr">
        <is>
          <t>No duplicate sku_id values within same upload</t>
        </is>
      </c>
      <c r="E8" s="37" t="inlineStr">
        <is>
          <t>Each row must have a unique SKU ID. Excel guard active.</t>
        </is>
      </c>
    </row>
    <row r="9" ht="24" customHeight="1" s="57">
      <c r="B9" s="71" t="inlineStr">
        <is>
          <t>Data types</t>
        </is>
      </c>
      <c r="C9" s="41" t="inlineStr">
        <is>
          <t>HARD STOP</t>
        </is>
      </c>
      <c r="D9" s="37" t="inlineStr">
        <is>
          <t>rrp, cogs_per_unit, monthly_volume_units must be numeric &gt;0. Excel guard active — text/symbols rejected at entry.</t>
        </is>
      </c>
      <c r="E9" s="37" t="inlineStr">
        <is>
          <t>Remove ₦ symbols and commas — enter numbers only.</t>
        </is>
      </c>
    </row>
    <row r="10" ht="24" customHeight="1" s="57">
      <c r="B10" s="71" t="inlineStr">
        <is>
          <t>Controlled vocabulary</t>
        </is>
      </c>
      <c r="C10" s="41" t="inlineStr">
        <is>
          <t>HARD STOP</t>
        </is>
      </c>
      <c r="D10" s="37" t="inlineStr">
        <is>
          <t>category, segment, primary_channel, active must match Reference Lists exactly (FMCG vertical)</t>
        </is>
      </c>
      <c r="E10" s="37" t="inlineStr">
        <is>
          <t>Use dropdown selections — do not free-type. Vertical must match template issued at onboarding.</t>
        </is>
      </c>
    </row>
    <row r="13" ht="15.75" customHeight="1" s="57">
      <c r="B13" s="74" t="inlineStr">
        <is>
          <t xml:space="preserve">  PASS 2 - SEMANTIC VALIDATION  (warnings - review and confirm or correct)</t>
        </is>
      </c>
    </row>
    <row r="14" ht="15" customHeight="1" s="57">
      <c r="B14" s="34" t="inlineStr">
        <is>
          <t>RULE</t>
        </is>
      </c>
      <c r="C14" s="34" t="inlineStr">
        <is>
          <t>SEVERITY</t>
        </is>
      </c>
      <c r="D14" s="34" t="inlineStr">
        <is>
          <t>DESCRIPTION</t>
        </is>
      </c>
      <c r="E14" s="34" t="inlineStr">
        <is>
          <t>CORRECTIVE ACTION</t>
        </is>
      </c>
    </row>
    <row r="15" ht="24" customHeight="1" s="57">
      <c r="B15" s="71" t="inlineStr">
        <is>
          <t>RRP/COGS inversion</t>
        </is>
      </c>
      <c r="C15" s="42" t="inlineStr">
        <is>
          <t>WARNING</t>
        </is>
      </c>
      <c r="D15" s="37" t="inlineStr">
        <is>
          <t>cogs_per_unit &gt; rrp — SKU is loss-making at unit level. Common data entry error.</t>
        </is>
      </c>
      <c r="E15" s="37" t="inlineStr">
        <is>
          <t>Verify RRP and COGS. Could be a units mismatch (e.g. per-case vs per-unit).</t>
        </is>
      </c>
    </row>
    <row r="16" ht="24" customHeight="1" s="57">
      <c r="B16" s="71" t="inlineStr">
        <is>
          <t>Implausible margin</t>
        </is>
      </c>
      <c r="C16" s="42" t="inlineStr">
        <is>
          <t>WARNING</t>
        </is>
      </c>
      <c r="D16" s="37" t="inlineStr">
        <is>
          <t>gross_margin_pct &lt; 5% or &gt; 90%. Unusual but not impossible.</t>
        </is>
      </c>
      <c r="E16" s="37" t="inlineStr">
        <is>
          <t>Confirm with finance team. Flag if RRP or COGS was entered in wrong units.</t>
        </is>
      </c>
    </row>
    <row r="17" ht="24" customHeight="1" s="57">
      <c r="B17" s="71" t="inlineStr">
        <is>
          <t>Volume outlier</t>
        </is>
      </c>
      <c r="C17" s="42" t="inlineStr">
        <is>
          <t>WARNING</t>
        </is>
      </c>
      <c r="D17" s="37" t="inlineStr">
        <is>
          <t>SKU volume is &gt;10x or &lt;0.1x the category median. Likely units error.</t>
        </is>
      </c>
      <c r="E17" s="37" t="inlineStr">
        <is>
          <t>Check whether volume is in units, cases, or pallets. Standardise to units.</t>
        </is>
      </c>
    </row>
    <row r="18" ht="24" customHeight="1" s="57">
      <c r="B18" s="71" t="inlineStr">
        <is>
          <t>Elasticity out of range</t>
        </is>
      </c>
      <c r="C18" s="42" t="inlineStr">
        <is>
          <t>WARNING</t>
        </is>
      </c>
      <c r="D18" s="37" t="inlineStr">
        <is>
          <t>price_elasticity outside -3.0 to 0.0. Theoretically possible but unusual.</t>
        </is>
      </c>
      <c r="E18" s="37" t="inlineStr">
        <is>
          <t>Verify source. Use Reference List proxies if unsure.</t>
        </is>
      </c>
    </row>
    <row r="19" ht="24" customHeight="1" s="57">
      <c r="B19" s="71" t="inlineStr">
        <is>
          <t>Channel split format</t>
        </is>
      </c>
      <c r="C19" s="41" t="inlineStr">
        <is>
          <t>HARD STOP</t>
        </is>
      </c>
      <c r="D19" s="37" t="inlineStr">
        <is>
          <t>channel_revenue_split must use format CODE:%, e.g. MT:60,OM:40. Valid codes: MT, OM, HO, WS, DI, EC, OT. Must total 100%.</t>
        </is>
      </c>
      <c r="E19" s="37" t="inlineStr">
        <is>
          <t>Use codes from Reference Lists tab. Format as CODE:PCT, comma-separated.</t>
        </is>
      </c>
    </row>
    <row r="20" ht="24" customHeight="1" s="57">
      <c r="B20" s="71" t="inlineStr">
        <is>
          <t>High compression risk</t>
        </is>
      </c>
      <c r="C20" s="42" t="inlineStr">
        <is>
          <t>WARNING</t>
        </is>
      </c>
      <c r="D20" s="37" t="inlineStr">
        <is>
          <t>pass_through_rate &lt; 30% and gross_margin &lt; 20%. SKU is acutely inflation-exposed.</t>
        </is>
      </c>
      <c r="E20" s="37" t="inlineStr">
        <is>
          <t>Review pricing contracts for this SKU. Consider priority action.</t>
        </is>
      </c>
    </row>
    <row r="21" ht="24" customHeight="1" s="57">
      <c r="B21" s="71" t="inlineStr">
        <is>
          <t>Rate field decimal format</t>
        </is>
      </c>
      <c r="C21" s="42" t="inlineStr">
        <is>
          <t>WARNING</t>
        </is>
      </c>
      <c r="D21" s="37" t="inlineStr">
        <is>
          <t>Any rate field (cols P–U) entered as integer &gt; 1 will be interpreted as a multiplier, not a percentage.</t>
        </is>
      </c>
      <c r="E21" s="37" t="inlineStr">
        <is>
          <t>Enter 0.22 not 22 for 22%. Excel validation guard active on entry.</t>
        </is>
      </c>
    </row>
    <row r="22" ht="24" customHeight="1" s="57">
      <c r="B22" s="71" t="inlineStr">
        <is>
          <t>SKU ID drift (repeat uploads)</t>
        </is>
      </c>
      <c r="C22" s="42" t="inlineStr">
        <is>
          <t>WARNING</t>
        </is>
      </c>
      <c r="D22" s="37" t="inlineStr">
        <is>
          <t>SKU IDs in prior upload not found in current upload.</t>
        </is>
      </c>
      <c r="E22" s="37" t="inlineStr">
        <is>
          <t>Confirm SKU was discontinued, not just renamed. Renamed SKUs break time-series.</t>
        </is>
      </c>
    </row>
    <row r="23" ht="24" customHeight="1" s="57">
      <c r="B23" s="71" t="inlineStr">
        <is>
          <t>New SKUs detected</t>
        </is>
      </c>
      <c r="C23" s="43" t="inlineStr">
        <is>
          <t>INFO</t>
        </is>
      </c>
      <c r="D23" s="37" t="inlineStr">
        <is>
          <t>SKU IDs in current upload not in prior upload.</t>
        </is>
      </c>
      <c r="E23" s="37" t="inlineStr">
        <is>
          <t>Confirm these are genuinely new SKUs. Platform will begin tracking from this period.</t>
        </is>
      </c>
    </row>
  </sheetData>
  <mergeCells count="3">
    <mergeCell ref="B13:E13"/>
    <mergeCell ref="B1:E1"/>
    <mergeCell ref="B3:E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2026-03-10T18:32:58Z</dcterms:created>
  <dcterms:modified xmlns:dcterms="http://purl.org/dc/terms/" xmlns:xsi="http://www.w3.org/2001/XMLSchema-instance" xsi:type="dcterms:W3CDTF">2026-03-30T09:16:23Z</dcterms:modified>
  <cp:lastModifiedBy>Wole Ogundare</cp:lastModifiedBy>
  <cp:revision>0</cp:revision>
</cp:coreProperties>
</file>